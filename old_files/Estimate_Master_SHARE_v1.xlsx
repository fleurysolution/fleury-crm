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e9dab09293c48d/Bureau/"/>
    </mc:Choice>
  </mc:AlternateContent>
  <xr:revisionPtr revIDLastSave="28" documentId="8_{9C3EDD7C-0655-4266-A37B-84CCC3527B9F}" xr6:coauthVersionLast="47" xr6:coauthVersionMax="47" xr10:uidLastSave="{4E95548E-DEDC-4A67-A625-3805E2835662}"/>
  <bookViews>
    <workbookView xWindow="-25710" yWindow="-3110" windowWidth="25820" windowHeight="15500" tabRatio="898" activeTab="6" xr2:uid="{00000000-000D-0000-FFFF-FFFF00000000}"/>
  </bookViews>
  <sheets>
    <sheet name="Project Info Input" sheetId="2" r:id="rId1"/>
    <sheet name="Budget Summary" sheetId="9" r:id="rId2"/>
    <sheet name="Estimate" sheetId="1" r:id="rId3"/>
    <sheet name="Clarifications" sheetId="12" r:id="rId4"/>
    <sheet name="GCs Input, Staff &amp; IT Costs" sheetId="10" r:id="rId5"/>
    <sheet name="General Conditions" sheetId="11" r:id="rId6"/>
    <sheet name="Estimate Risk Summary" sheetId="8" r:id="rId7"/>
    <sheet name="How to Use" sheetId="13" state="hidden" r:id="rId8"/>
  </sheets>
  <definedNames>
    <definedName name="_xlnm._FilterDatabase" localSheetId="2" hidden="1">Estimate!$A$8:$O$1361</definedName>
    <definedName name="_xlnm._FilterDatabase" localSheetId="5" hidden="1">'General Conditions'!$P$8:$P$129</definedName>
    <definedName name="Paving5">'Project Info Input'!#REF!</definedName>
    <definedName name="_xlnm.Print_Area" localSheetId="1">'Budget Summary'!$B$2:$J$106</definedName>
    <definedName name="_xlnm.Print_Area" localSheetId="2">Estimate!$D$2:$O$1269</definedName>
    <definedName name="_xlnm.Print_Area" localSheetId="6">'Estimate Risk Summary'!$B$1:$K$56</definedName>
    <definedName name="_xlnm.Print_Area" localSheetId="4">'GCs Input, Staff &amp; IT Costs'!$A$1:$G$70</definedName>
    <definedName name="_xlnm.Print_Area" localSheetId="5">'General Conditions'!$A$1:$M$129</definedName>
    <definedName name="_xlnm.Print_Titles" localSheetId="2">Estimate!$2:$8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M4" i="10" s="1"/>
  <c r="K4" i="10"/>
  <c r="M777" i="1"/>
  <c r="M776" i="1"/>
  <c r="C71" i="2"/>
  <c r="C96" i="2"/>
  <c r="C92" i="2"/>
  <c r="C67" i="2"/>
  <c r="J614" i="1" l="1"/>
  <c r="M614" i="1" s="1"/>
  <c r="J716" i="1"/>
  <c r="M716" i="1" s="1"/>
  <c r="J693" i="1"/>
  <c r="M693" i="1" s="1"/>
  <c r="G1095" i="1"/>
  <c r="J1055" i="1"/>
  <c r="M1055" i="1" s="1"/>
  <c r="J914" i="1"/>
  <c r="M914" i="1" s="1"/>
  <c r="J1075" i="1"/>
  <c r="M1075" i="1" s="1"/>
  <c r="M894" i="1"/>
  <c r="E13" i="12"/>
  <c r="E6" i="12"/>
  <c r="E5" i="12"/>
  <c r="E4" i="12"/>
  <c r="F364" i="1"/>
  <c r="C85" i="2"/>
  <c r="G1119" i="1"/>
  <c r="F1112" i="1"/>
  <c r="E1112" i="1"/>
  <c r="G87" i="1"/>
  <c r="G7" i="1"/>
  <c r="G61" i="1" s="1"/>
  <c r="G659" i="1"/>
  <c r="J659" i="1" s="1"/>
  <c r="G654" i="1"/>
  <c r="C95" i="2"/>
  <c r="M986" i="1"/>
  <c r="M985" i="1"/>
  <c r="Y10" i="8"/>
  <c r="V10" i="8"/>
  <c r="U10" i="8"/>
  <c r="M414" i="1"/>
  <c r="M413" i="1"/>
  <c r="M387" i="1"/>
  <c r="M386" i="1"/>
  <c r="M263" i="1"/>
  <c r="M262" i="1"/>
  <c r="M1206" i="1"/>
  <c r="M1205" i="1"/>
  <c r="M1197" i="1"/>
  <c r="M1196" i="1"/>
  <c r="M1189" i="1"/>
  <c r="M1188" i="1"/>
  <c r="M1177" i="1"/>
  <c r="M1176" i="1"/>
  <c r="M1167" i="1"/>
  <c r="M1166" i="1"/>
  <c r="M1153" i="1"/>
  <c r="M1152" i="1"/>
  <c r="M1125" i="1"/>
  <c r="M1124" i="1"/>
  <c r="M1077" i="1"/>
  <c r="M1076" i="1"/>
  <c r="M1104" i="1"/>
  <c r="M1103" i="1"/>
  <c r="M1039" i="1"/>
  <c r="M1038" i="1"/>
  <c r="M900" i="1"/>
  <c r="M899" i="1"/>
  <c r="M878" i="1"/>
  <c r="M877" i="1"/>
  <c r="M868" i="1"/>
  <c r="M867" i="1"/>
  <c r="M828" i="1"/>
  <c r="F36" i="8" s="1"/>
  <c r="G36" i="8" s="1"/>
  <c r="I36" i="8" s="1"/>
  <c r="M827" i="1"/>
  <c r="E36" i="8" s="1"/>
  <c r="M792" i="1"/>
  <c r="M791" i="1"/>
  <c r="M731" i="1"/>
  <c r="F34" i="8" s="1"/>
  <c r="G34" i="8" s="1"/>
  <c r="I34" i="8" s="1"/>
  <c r="M730" i="1"/>
  <c r="E34" i="8" s="1"/>
  <c r="M710" i="1"/>
  <c r="M709" i="1"/>
  <c r="M632" i="1"/>
  <c r="F31" i="8" s="1"/>
  <c r="G31" i="8" s="1"/>
  <c r="I31" i="8" s="1"/>
  <c r="M631" i="1"/>
  <c r="E31" i="8" s="1"/>
  <c r="M620" i="1"/>
  <c r="F29" i="8" s="1"/>
  <c r="G29" i="8" s="1"/>
  <c r="I29" i="8" s="1"/>
  <c r="M619" i="1"/>
  <c r="E29" i="8" s="1"/>
  <c r="M567" i="1"/>
  <c r="M566" i="1"/>
  <c r="M556" i="1"/>
  <c r="M555" i="1"/>
  <c r="M536" i="1"/>
  <c r="F25" i="8" s="1"/>
  <c r="G25" i="8" s="1"/>
  <c r="I25" i="8" s="1"/>
  <c r="M535" i="1"/>
  <c r="E25" i="8" s="1"/>
  <c r="M475" i="1"/>
  <c r="M474" i="1"/>
  <c r="M325" i="1"/>
  <c r="F20" i="8" s="1"/>
  <c r="M324" i="1"/>
  <c r="E20" i="8" s="1"/>
  <c r="M308" i="1"/>
  <c r="F19" i="8" s="1"/>
  <c r="G19" i="8" s="1"/>
  <c r="I19" i="8" s="1"/>
  <c r="M307" i="1"/>
  <c r="E19" i="8" s="1"/>
  <c r="M298" i="1"/>
  <c r="F18" i="8" s="1"/>
  <c r="G18" i="8" s="1"/>
  <c r="I18" i="8" s="1"/>
  <c r="M297" i="1"/>
  <c r="E18" i="8" s="1"/>
  <c r="J16" i="1"/>
  <c r="M16" i="1" s="1"/>
  <c r="G469" i="1"/>
  <c r="G63" i="1" l="1"/>
  <c r="G66" i="1"/>
  <c r="J921" i="1"/>
  <c r="M921" i="1" s="1"/>
  <c r="J920" i="1"/>
  <c r="M920" i="1" s="1"/>
  <c r="J924" i="1"/>
  <c r="M924" i="1" s="1"/>
  <c r="Y9" i="8" l="1"/>
  <c r="C47" i="10"/>
  <c r="C44" i="10"/>
  <c r="C45" i="10"/>
  <c r="C42" i="10"/>
  <c r="C41" i="10"/>
  <c r="K5" i="10"/>
  <c r="L5" i="10"/>
  <c r="M5" i="10"/>
  <c r="O5" i="10"/>
  <c r="K6" i="10"/>
  <c r="L6" i="10"/>
  <c r="M6" i="10"/>
  <c r="O6" i="10"/>
  <c r="K7" i="10"/>
  <c r="L7" i="10"/>
  <c r="M7" i="10"/>
  <c r="O7" i="10"/>
  <c r="K8" i="10"/>
  <c r="L8" i="10"/>
  <c r="M8" i="10"/>
  <c r="O8" i="10"/>
  <c r="K9" i="10"/>
  <c r="L9" i="10"/>
  <c r="M9" i="10"/>
  <c r="O9" i="10"/>
  <c r="K10" i="10"/>
  <c r="L10" i="10"/>
  <c r="M10" i="10"/>
  <c r="O10" i="10"/>
  <c r="K11" i="10"/>
  <c r="L11" i="10"/>
  <c r="M11" i="10"/>
  <c r="O11" i="10"/>
  <c r="K12" i="10"/>
  <c r="L12" i="10"/>
  <c r="M12" i="10"/>
  <c r="O12" i="10"/>
  <c r="K13" i="10"/>
  <c r="L13" i="10"/>
  <c r="M13" i="10"/>
  <c r="O13" i="10"/>
  <c r="K14" i="10"/>
  <c r="L14" i="10"/>
  <c r="M14" i="10"/>
  <c r="O14" i="10"/>
  <c r="K15" i="10"/>
  <c r="L15" i="10"/>
  <c r="M15" i="10"/>
  <c r="O15" i="10"/>
  <c r="K16" i="10"/>
  <c r="L16" i="10"/>
  <c r="M16" i="10"/>
  <c r="O16" i="10"/>
  <c r="K17" i="10"/>
  <c r="L17" i="10"/>
  <c r="M17" i="10"/>
  <c r="O17" i="10"/>
  <c r="K18" i="10"/>
  <c r="L18" i="10"/>
  <c r="M18" i="10"/>
  <c r="O18" i="10"/>
  <c r="K19" i="10"/>
  <c r="L19" i="10"/>
  <c r="M19" i="10"/>
  <c r="O19" i="10"/>
  <c r="J32" i="10"/>
  <c r="E57" i="8" l="1"/>
  <c r="J769" i="1" l="1"/>
  <c r="M769" i="1" s="1"/>
  <c r="J768" i="1"/>
  <c r="M768" i="1" s="1"/>
  <c r="M1201" i="1" l="1"/>
  <c r="G411" i="1" l="1"/>
  <c r="C5" i="10" l="1"/>
  <c r="F480" i="1" l="1"/>
  <c r="G58" i="2" l="1"/>
  <c r="G57" i="2"/>
  <c r="G60" i="2" l="1"/>
  <c r="A904" i="1" l="1"/>
  <c r="A905" i="1" s="1"/>
  <c r="A906" i="1" s="1"/>
  <c r="A907" i="1" s="1"/>
  <c r="A908" i="1" s="1"/>
  <c r="A909" i="1" s="1"/>
  <c r="J443" i="1"/>
  <c r="M443" i="1" s="1"/>
  <c r="J926" i="1" l="1"/>
  <c r="M926" i="1" s="1"/>
  <c r="J399" i="1" l="1"/>
  <c r="M399" i="1" s="1"/>
  <c r="G332" i="1" l="1"/>
  <c r="I342" i="1" l="1"/>
  <c r="I341" i="1"/>
  <c r="I333" i="1"/>
  <c r="I334" i="1" s="1"/>
  <c r="J334" i="1" l="1"/>
  <c r="M334" i="1" s="1"/>
  <c r="I335" i="1"/>
  <c r="I336" i="1" s="1"/>
  <c r="J333" i="1"/>
  <c r="M333" i="1" s="1"/>
  <c r="J99" i="1"/>
  <c r="M99" i="1" s="1"/>
  <c r="J335" i="1" l="1"/>
  <c r="M335" i="1" s="1"/>
  <c r="J336" i="1"/>
  <c r="M336" i="1" s="1"/>
  <c r="I337" i="1"/>
  <c r="J222" i="1"/>
  <c r="M222" i="1" s="1"/>
  <c r="M1237" i="1"/>
  <c r="M1228" i="1"/>
  <c r="M1227" i="1"/>
  <c r="M1226" i="1"/>
  <c r="M1224" i="1"/>
  <c r="J337" i="1" l="1"/>
  <c r="M337" i="1" s="1"/>
  <c r="I338" i="1"/>
  <c r="J338" i="1" l="1"/>
  <c r="M338" i="1" s="1"/>
  <c r="I339" i="1"/>
  <c r="I340" i="1" l="1"/>
  <c r="J340" i="1" s="1"/>
  <c r="M340" i="1" s="1"/>
  <c r="J339" i="1"/>
  <c r="M339" i="1" s="1"/>
  <c r="F13" i="10"/>
  <c r="F11" i="10"/>
  <c r="H109" i="11"/>
  <c r="U9" i="8" l="1"/>
  <c r="J450" i="1" l="1"/>
  <c r="M450" i="1" s="1"/>
  <c r="J449" i="1"/>
  <c r="M449" i="1" s="1"/>
  <c r="M1063" i="1" l="1"/>
  <c r="F43" i="8" s="1"/>
  <c r="M1062" i="1"/>
  <c r="E43" i="8" s="1"/>
  <c r="M1013" i="1"/>
  <c r="F42" i="8" s="1"/>
  <c r="M1012" i="1"/>
  <c r="E42" i="8" s="1"/>
  <c r="M965" i="1"/>
  <c r="F41" i="8" s="1"/>
  <c r="M964" i="1"/>
  <c r="E41" i="8" s="1"/>
  <c r="M928" i="1"/>
  <c r="M927" i="1"/>
  <c r="M907" i="1"/>
  <c r="F39" i="8" s="1"/>
  <c r="M906" i="1"/>
  <c r="E39" i="8" s="1"/>
  <c r="M889" i="1"/>
  <c r="M888" i="1"/>
  <c r="M851" i="1"/>
  <c r="F37" i="8" s="1"/>
  <c r="M850" i="1"/>
  <c r="E37" i="8" s="1"/>
  <c r="M750" i="1"/>
  <c r="F35" i="8" s="1"/>
  <c r="M749" i="1"/>
  <c r="E35" i="8" s="1"/>
  <c r="M701" i="1"/>
  <c r="F33" i="8" s="1"/>
  <c r="M700" i="1"/>
  <c r="E33" i="8" s="1"/>
  <c r="M683" i="1"/>
  <c r="M682" i="1"/>
  <c r="M662" i="1"/>
  <c r="F30" i="8" s="1"/>
  <c r="M661" i="1"/>
  <c r="E30" i="8" s="1"/>
  <c r="M604" i="1"/>
  <c r="M603" i="1"/>
  <c r="M579" i="1"/>
  <c r="F27" i="8" s="1"/>
  <c r="M578" i="1"/>
  <c r="M507" i="1"/>
  <c r="M506" i="1"/>
  <c r="M492" i="1"/>
  <c r="M491" i="1"/>
  <c r="M452" i="1"/>
  <c r="M451" i="1"/>
  <c r="M425" i="1"/>
  <c r="M424" i="1"/>
  <c r="M401" i="1"/>
  <c r="M400" i="1"/>
  <c r="M379" i="1"/>
  <c r="M378" i="1"/>
  <c r="M359" i="1"/>
  <c r="M358" i="1"/>
  <c r="E21" i="8" s="1"/>
  <c r="M282" i="1"/>
  <c r="F17" i="8" s="1"/>
  <c r="G17" i="8" s="1"/>
  <c r="I17" i="8" s="1"/>
  <c r="M281" i="1"/>
  <c r="E17" i="8" s="1"/>
  <c r="M246" i="1"/>
  <c r="F16" i="8" s="1"/>
  <c r="M245" i="1"/>
  <c r="E16" i="8" s="1"/>
  <c r="M231" i="1"/>
  <c r="M230" i="1"/>
  <c r="M197" i="1"/>
  <c r="M196" i="1"/>
  <c r="M175" i="1"/>
  <c r="M174" i="1"/>
  <c r="M163" i="1"/>
  <c r="M162" i="1"/>
  <c r="M139" i="1"/>
  <c r="M138" i="1"/>
  <c r="M93" i="1"/>
  <c r="M92" i="1"/>
  <c r="M52" i="1"/>
  <c r="M51" i="1"/>
  <c r="M36" i="1"/>
  <c r="F9" i="8" s="1"/>
  <c r="M35" i="1"/>
  <c r="E9" i="8" s="1"/>
  <c r="M57" i="1"/>
  <c r="F21" i="8" l="1"/>
  <c r="E10" i="8"/>
  <c r="F23" i="8"/>
  <c r="E23" i="8"/>
  <c r="F10" i="8"/>
  <c r="G10" i="8" s="1"/>
  <c r="I10" i="8" s="1"/>
  <c r="E27" i="8"/>
  <c r="F26" i="8"/>
  <c r="G26" i="8" s="1"/>
  <c r="I26" i="8" s="1"/>
  <c r="J112" i="1"/>
  <c r="M112" i="1" s="1"/>
  <c r="J110" i="1"/>
  <c r="M110" i="1" s="1"/>
  <c r="F431" i="1" l="1"/>
  <c r="J1186" i="1" l="1"/>
  <c r="M393" i="1" l="1"/>
  <c r="M275" i="1"/>
  <c r="M24" i="1"/>
  <c r="M1193" i="1" l="1"/>
  <c r="M1181" i="1"/>
  <c r="M1171" i="1"/>
  <c r="M1157" i="1"/>
  <c r="M1129" i="1"/>
  <c r="M1108" i="1"/>
  <c r="M1067" i="1"/>
  <c r="M1081" i="1"/>
  <c r="M1044" i="1"/>
  <c r="M1017" i="1"/>
  <c r="M991" i="1"/>
  <c r="M969" i="1"/>
  <c r="M933" i="1"/>
  <c r="M912" i="1"/>
  <c r="M904" i="1"/>
  <c r="M883" i="1"/>
  <c r="M873" i="1"/>
  <c r="M855" i="1"/>
  <c r="M833" i="1"/>
  <c r="M797" i="1"/>
  <c r="M781" i="1"/>
  <c r="M754" i="1"/>
  <c r="M735" i="1"/>
  <c r="M714" i="1"/>
  <c r="M705" i="1"/>
  <c r="M688" i="1"/>
  <c r="M666" i="1"/>
  <c r="M648" i="1"/>
  <c r="M636" i="1"/>
  <c r="M625" i="1"/>
  <c r="M608" i="1"/>
  <c r="M583" i="1"/>
  <c r="M571" i="1"/>
  <c r="M560" i="1"/>
  <c r="M541" i="1"/>
  <c r="M520" i="1"/>
  <c r="M512" i="1"/>
  <c r="M496" i="1"/>
  <c r="M479" i="1"/>
  <c r="M456" i="1"/>
  <c r="M430" i="1"/>
  <c r="M419" i="1"/>
  <c r="M405" i="1"/>
  <c r="M391" i="1"/>
  <c r="M383" i="1"/>
  <c r="M363" i="1"/>
  <c r="M331" i="1"/>
  <c r="M312" i="1"/>
  <c r="M302" i="1"/>
  <c r="M286" i="1"/>
  <c r="M274" i="1"/>
  <c r="M267" i="1"/>
  <c r="M250" i="1"/>
  <c r="M235" i="1"/>
  <c r="M201" i="1"/>
  <c r="M179" i="1"/>
  <c r="M167" i="1"/>
  <c r="M143" i="1"/>
  <c r="M97" i="1"/>
  <c r="M56" i="1"/>
  <c r="M40" i="1" l="1"/>
  <c r="F1110" i="1" l="1"/>
  <c r="G1083" i="1"/>
  <c r="G1082" i="1"/>
  <c r="J1145" i="1" l="1"/>
  <c r="M1145" i="1" s="1"/>
  <c r="G1090" i="1" l="1"/>
  <c r="F993" i="1"/>
  <c r="F995" i="1" s="1"/>
  <c r="J945" i="1"/>
  <c r="M945" i="1" s="1"/>
  <c r="J944" i="1"/>
  <c r="M944" i="1" s="1"/>
  <c r="G919" i="1"/>
  <c r="G918" i="1"/>
  <c r="J918" i="1" s="1"/>
  <c r="M918" i="1" s="1"/>
  <c r="G917" i="1"/>
  <c r="F913" i="1"/>
  <c r="J849" i="1"/>
  <c r="M849" i="1" s="1"/>
  <c r="J848" i="1"/>
  <c r="M848" i="1" s="1"/>
  <c r="J847" i="1"/>
  <c r="M847" i="1" s="1"/>
  <c r="J813" i="1"/>
  <c r="M813" i="1" s="1"/>
  <c r="J817" i="1"/>
  <c r="M817" i="1" s="1"/>
  <c r="J815" i="1"/>
  <c r="M815" i="1" s="1"/>
  <c r="G1092" i="1" l="1"/>
  <c r="G463" i="1"/>
  <c r="G368" i="1"/>
  <c r="J766" i="1"/>
  <c r="M766" i="1" s="1"/>
  <c r="G1094" i="1" l="1"/>
  <c r="J1094" i="1" s="1"/>
  <c r="M1094" i="1" s="1"/>
  <c r="J589" i="1"/>
  <c r="M589" i="1" s="1"/>
  <c r="J592" i="1"/>
  <c r="M592" i="1" s="1"/>
  <c r="J591" i="1"/>
  <c r="M591" i="1" s="1"/>
  <c r="J588" i="1"/>
  <c r="M588" i="1" s="1"/>
  <c r="G1091" i="1" l="1"/>
  <c r="G1093" i="1" s="1"/>
  <c r="J1093" i="1" s="1"/>
  <c r="M1093" i="1" s="1"/>
  <c r="J587" i="1"/>
  <c r="M587" i="1" s="1"/>
  <c r="J586" i="1"/>
  <c r="M586" i="1" s="1"/>
  <c r="J585" i="1"/>
  <c r="M585" i="1" s="1"/>
  <c r="J547" i="1"/>
  <c r="M547" i="1" s="1"/>
  <c r="J552" i="1"/>
  <c r="M552" i="1" s="1"/>
  <c r="J553" i="1"/>
  <c r="M553" i="1" s="1"/>
  <c r="G577" i="1" l="1"/>
  <c r="J577" i="1" s="1"/>
  <c r="M577" i="1" s="1"/>
  <c r="E26" i="8" s="1"/>
  <c r="G576" i="1"/>
  <c r="J546" i="1"/>
  <c r="M546" i="1" s="1"/>
  <c r="J544" i="1"/>
  <c r="M544" i="1" s="1"/>
  <c r="G486" i="1"/>
  <c r="G460" i="1"/>
  <c r="I468" i="1"/>
  <c r="J422" i="1"/>
  <c r="M422" i="1" s="1"/>
  <c r="J398" i="1"/>
  <c r="M398" i="1" s="1"/>
  <c r="J397" i="1"/>
  <c r="M397" i="1" s="1"/>
  <c r="J396" i="1"/>
  <c r="M396" i="1" s="1"/>
  <c r="J395" i="1"/>
  <c r="M395" i="1" s="1"/>
  <c r="I394" i="1"/>
  <c r="G30" i="8" l="1"/>
  <c r="G37" i="8"/>
  <c r="G39" i="8"/>
  <c r="G35" i="8"/>
  <c r="G33" i="8"/>
  <c r="J680" i="1"/>
  <c r="M680" i="1" s="1"/>
  <c r="F32" i="8"/>
  <c r="G32" i="8" s="1"/>
  <c r="E32" i="8"/>
  <c r="G27" i="8"/>
  <c r="F22" i="8"/>
  <c r="G22" i="8" s="1"/>
  <c r="E22" i="8"/>
  <c r="E5" i="9"/>
  <c r="G5" i="1" l="1"/>
  <c r="P10" i="8"/>
  <c r="I37" i="8"/>
  <c r="I30" i="8"/>
  <c r="J306" i="1" l="1"/>
  <c r="M306" i="1" s="1"/>
  <c r="J305" i="1"/>
  <c r="M305" i="1" s="1"/>
  <c r="J303" i="1"/>
  <c r="J304" i="1"/>
  <c r="M304" i="1" s="1"/>
  <c r="J296" i="1"/>
  <c r="M296" i="1" s="1"/>
  <c r="J295" i="1"/>
  <c r="M295" i="1" s="1"/>
  <c r="J294" i="1"/>
  <c r="M294" i="1" s="1"/>
  <c r="J293" i="1"/>
  <c r="M293" i="1" s="1"/>
  <c r="J292" i="1"/>
  <c r="M292" i="1" s="1"/>
  <c r="J291" i="1"/>
  <c r="M291" i="1" s="1"/>
  <c r="J290" i="1"/>
  <c r="M290" i="1" s="1"/>
  <c r="J289" i="1"/>
  <c r="M289" i="1" s="1"/>
  <c r="J288" i="1"/>
  <c r="M288" i="1" s="1"/>
  <c r="J287" i="1"/>
  <c r="J270" i="1"/>
  <c r="M270" i="1" s="1"/>
  <c r="J269" i="1"/>
  <c r="M269" i="1" s="1"/>
  <c r="J268" i="1"/>
  <c r="J229" i="1"/>
  <c r="M229" i="1" s="1"/>
  <c r="J180" i="1"/>
  <c r="J130" i="1"/>
  <c r="M130" i="1" s="1"/>
  <c r="J133" i="1"/>
  <c r="M133" i="1" s="1"/>
  <c r="M287" i="1" l="1"/>
  <c r="N285" i="1" s="1"/>
  <c r="J285" i="1"/>
  <c r="M180" i="1"/>
  <c r="J301" i="1"/>
  <c r="M303" i="1"/>
  <c r="N301" i="1" s="1"/>
  <c r="M268" i="1"/>
  <c r="N266" i="1" s="1"/>
  <c r="J266" i="1"/>
  <c r="A301" i="1" l="1"/>
  <c r="A302" i="1" s="1"/>
  <c r="A303" i="1" s="1"/>
  <c r="A304" i="1" s="1"/>
  <c r="A305" i="1" s="1"/>
  <c r="A306" i="1" s="1"/>
  <c r="A307" i="1" s="1"/>
  <c r="A308" i="1" s="1"/>
  <c r="A309" i="1" s="1"/>
  <c r="A310" i="1" s="1"/>
  <c r="A266" i="1"/>
  <c r="A267" i="1" s="1"/>
  <c r="A268" i="1" s="1"/>
  <c r="A269" i="1" s="1"/>
  <c r="A270" i="1" s="1"/>
  <c r="A271" i="1" s="1"/>
  <c r="A272" i="1" s="1"/>
  <c r="E21" i="9"/>
  <c r="A285" i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E20" i="9"/>
  <c r="J355" i="1"/>
  <c r="M355" i="1" s="1"/>
  <c r="J357" i="1"/>
  <c r="M357" i="1" s="1"/>
  <c r="J356" i="1"/>
  <c r="M356" i="1" s="1"/>
  <c r="J354" i="1"/>
  <c r="M354" i="1" s="1"/>
  <c r="J353" i="1"/>
  <c r="M353" i="1" s="1"/>
  <c r="J352" i="1"/>
  <c r="M352" i="1" s="1"/>
  <c r="J351" i="1"/>
  <c r="M351" i="1" s="1"/>
  <c r="J350" i="1"/>
  <c r="M350" i="1" s="1"/>
  <c r="J349" i="1"/>
  <c r="M349" i="1" s="1"/>
  <c r="J348" i="1"/>
  <c r="M348" i="1" s="1"/>
  <c r="M38" i="2"/>
  <c r="M40" i="2" s="1"/>
  <c r="M43" i="2" s="1"/>
  <c r="J41" i="2"/>
  <c r="J39" i="2"/>
  <c r="J38" i="2"/>
  <c r="A296" i="1" l="1"/>
  <c r="A297" i="1" s="1"/>
  <c r="A298" i="1" s="1"/>
  <c r="A299" i="1" s="1"/>
  <c r="A300" i="1" s="1"/>
  <c r="J40" i="2"/>
  <c r="J42" i="2" s="1"/>
  <c r="J43" i="2" s="1"/>
  <c r="M44" i="2"/>
  <c r="J44" i="2" l="1"/>
  <c r="J48" i="2" s="1"/>
  <c r="J47" i="2"/>
  <c r="G371" i="1" l="1"/>
  <c r="G370" i="1"/>
  <c r="G369" i="1"/>
  <c r="J237" i="1"/>
  <c r="M237" i="1" s="1"/>
  <c r="J681" i="1"/>
  <c r="M681" i="1" s="1"/>
  <c r="J679" i="1"/>
  <c r="M679" i="1" s="1"/>
  <c r="J678" i="1"/>
  <c r="M678" i="1" s="1"/>
  <c r="J675" i="1"/>
  <c r="M675" i="1" s="1"/>
  <c r="J677" i="1"/>
  <c r="M677" i="1" s="1"/>
  <c r="J674" i="1"/>
  <c r="M674" i="1" s="1"/>
  <c r="J676" i="1"/>
  <c r="M676" i="1" s="1"/>
  <c r="J673" i="1"/>
  <c r="M673" i="1" s="1"/>
  <c r="J83" i="1"/>
  <c r="M83" i="1" s="1"/>
  <c r="J228" i="1"/>
  <c r="M228" i="1" s="1"/>
  <c r="J227" i="1"/>
  <c r="M227" i="1" s="1"/>
  <c r="G465" i="1"/>
  <c r="J220" i="1"/>
  <c r="M220" i="1" s="1"/>
  <c r="J219" i="1"/>
  <c r="M219" i="1" s="1"/>
  <c r="J223" i="1"/>
  <c r="M223" i="1" s="1"/>
  <c r="G86" i="1"/>
  <c r="G216" i="1" l="1"/>
  <c r="J204" i="1"/>
  <c r="M204" i="1" s="1"/>
  <c r="J77" i="1"/>
  <c r="M77" i="1" s="1"/>
  <c r="J76" i="1"/>
  <c r="M76" i="1" s="1"/>
  <c r="J78" i="1"/>
  <c r="M78" i="1" s="1"/>
  <c r="J86" i="1"/>
  <c r="M86" i="1" s="1"/>
  <c r="C49" i="2" l="1"/>
  <c r="C25" i="2"/>
  <c r="C34" i="2"/>
  <c r="N4" i="11"/>
  <c r="C93" i="2" l="1"/>
  <c r="F992" i="1" s="1"/>
  <c r="J111" i="11"/>
  <c r="J98" i="11"/>
  <c r="J12" i="11"/>
  <c r="J120" i="11"/>
  <c r="J110" i="11"/>
  <c r="J96" i="11"/>
  <c r="J10" i="11"/>
  <c r="J104" i="11"/>
  <c r="J119" i="11"/>
  <c r="J109" i="11"/>
  <c r="J94" i="11"/>
  <c r="J115" i="11"/>
  <c r="J106" i="11"/>
  <c r="J18" i="11"/>
  <c r="J114" i="11"/>
  <c r="J16" i="11"/>
  <c r="J123" i="11"/>
  <c r="J14" i="11"/>
  <c r="J118" i="11"/>
  <c r="J108" i="11"/>
  <c r="J92" i="11"/>
  <c r="J116" i="11"/>
  <c r="J107" i="11"/>
  <c r="J125" i="11"/>
  <c r="J105" i="11"/>
  <c r="J113" i="11"/>
  <c r="G601" i="1"/>
  <c r="G485" i="1"/>
  <c r="G458" i="1"/>
  <c r="C37" i="2"/>
  <c r="G487" i="1"/>
  <c r="J590" i="1"/>
  <c r="M590" i="1" s="1"/>
  <c r="J50" i="1"/>
  <c r="M50" i="1" s="1"/>
  <c r="J49" i="1"/>
  <c r="M49" i="1" s="1"/>
  <c r="J48" i="1"/>
  <c r="M48" i="1" s="1"/>
  <c r="J47" i="1"/>
  <c r="M47" i="1" s="1"/>
  <c r="J46" i="1"/>
  <c r="M46" i="1" s="1"/>
  <c r="J45" i="1"/>
  <c r="M45" i="1" s="1"/>
  <c r="J44" i="1"/>
  <c r="M44" i="1" s="1"/>
  <c r="J43" i="1"/>
  <c r="M43" i="1" s="1"/>
  <c r="J42" i="1"/>
  <c r="M42" i="1" s="1"/>
  <c r="G43" i="8"/>
  <c r="G41" i="8"/>
  <c r="G42" i="8"/>
  <c r="F40" i="8"/>
  <c r="G40" i="8" s="1"/>
  <c r="E40" i="8"/>
  <c r="F38" i="8"/>
  <c r="G38" i="8" s="1"/>
  <c r="E38" i="8"/>
  <c r="F28" i="8"/>
  <c r="G28" i="8" s="1"/>
  <c r="E28" i="8"/>
  <c r="F24" i="8"/>
  <c r="G24" i="8" s="1"/>
  <c r="E24" i="8"/>
  <c r="G23" i="8"/>
  <c r="G21" i="8"/>
  <c r="G20" i="8"/>
  <c r="G16" i="8"/>
  <c r="F15" i="8"/>
  <c r="G15" i="8" s="1"/>
  <c r="E15" i="8"/>
  <c r="F14" i="8"/>
  <c r="G14" i="8" s="1"/>
  <c r="E14" i="8"/>
  <c r="F13" i="8"/>
  <c r="G13" i="8" s="1"/>
  <c r="E13" i="8"/>
  <c r="F12" i="8"/>
  <c r="G12" i="8" s="1"/>
  <c r="E12" i="8"/>
  <c r="F11" i="8"/>
  <c r="G11" i="8" s="1"/>
  <c r="E11" i="8"/>
  <c r="E52" i="8"/>
  <c r="H45" i="8"/>
  <c r="I4" i="1"/>
  <c r="G2" i="1"/>
  <c r="E3" i="9"/>
  <c r="O9" i="8" s="1"/>
  <c r="G4" i="9"/>
  <c r="E2" i="9"/>
  <c r="I44" i="8"/>
  <c r="I39" i="8"/>
  <c r="I35" i="8"/>
  <c r="I33" i="8"/>
  <c r="I32" i="8"/>
  <c r="I27" i="8"/>
  <c r="I22" i="8"/>
  <c r="G52" i="8"/>
  <c r="C6" i="8"/>
  <c r="C5" i="8"/>
  <c r="C4" i="8"/>
  <c r="H105" i="2" l="1"/>
  <c r="H106" i="2"/>
  <c r="H107" i="2"/>
  <c r="I107" i="2"/>
  <c r="C108" i="2" s="1"/>
  <c r="G1112" i="1" s="1"/>
  <c r="J105" i="2"/>
  <c r="J107" i="2"/>
  <c r="I106" i="2"/>
  <c r="I105" i="2"/>
  <c r="J106" i="2"/>
  <c r="J601" i="1"/>
  <c r="M601" i="1" s="1"/>
  <c r="G602" i="1"/>
  <c r="I13" i="8"/>
  <c r="I24" i="8"/>
  <c r="I23" i="8"/>
  <c r="I38" i="8"/>
  <c r="I43" i="8"/>
  <c r="I42" i="8"/>
  <c r="I40" i="8"/>
  <c r="I28" i="8"/>
  <c r="E45" i="8"/>
  <c r="I41" i="8"/>
  <c r="I11" i="8"/>
  <c r="I15" i="8"/>
  <c r="I20" i="8"/>
  <c r="I14" i="8"/>
  <c r="I21" i="8"/>
  <c r="F45" i="8"/>
  <c r="I12" i="8"/>
  <c r="I16" i="8"/>
  <c r="I52" i="8"/>
  <c r="G3" i="1"/>
  <c r="G45" i="8" l="1"/>
  <c r="I45" i="8"/>
  <c r="V9" i="8" s="1"/>
  <c r="I121" i="11"/>
  <c r="J423" i="1" l="1"/>
  <c r="M423" i="1" s="1"/>
  <c r="D105" i="9" l="1"/>
  <c r="D104" i="9"/>
  <c r="D103" i="9"/>
  <c r="D102" i="9"/>
  <c r="D101" i="9"/>
  <c r="D100" i="9"/>
  <c r="D99" i="9"/>
  <c r="D98" i="9"/>
  <c r="D97" i="9"/>
  <c r="D96" i="9"/>
  <c r="D95" i="9"/>
  <c r="D94" i="9"/>
  <c r="D93" i="9"/>
  <c r="J341" i="1" l="1"/>
  <c r="M341" i="1" s="1"/>
  <c r="J905" i="1"/>
  <c r="M905" i="1" l="1"/>
  <c r="N903" i="1" s="1"/>
  <c r="J903" i="1"/>
  <c r="J87" i="1"/>
  <c r="M87" i="1" s="1"/>
  <c r="A903" i="1" l="1"/>
  <c r="C4" i="10"/>
  <c r="F2" i="11" s="1"/>
  <c r="F16" i="10"/>
  <c r="F24" i="10"/>
  <c r="F23" i="10"/>
  <c r="F29" i="10"/>
  <c r="F21" i="10"/>
  <c r="F20" i="10"/>
  <c r="F19" i="10"/>
  <c r="F18" i="10"/>
  <c r="F125" i="11"/>
  <c r="H125" i="11" s="1"/>
  <c r="I125" i="11" s="1"/>
  <c r="H124" i="11"/>
  <c r="H123" i="11"/>
  <c r="F123" i="11"/>
  <c r="H120" i="11"/>
  <c r="H119" i="11"/>
  <c r="H118" i="11"/>
  <c r="L118" i="11" s="1"/>
  <c r="P118" i="11" s="1"/>
  <c r="H116" i="11"/>
  <c r="H115" i="11"/>
  <c r="H114" i="11"/>
  <c r="L114" i="11" s="1"/>
  <c r="P114" i="11" s="1"/>
  <c r="H113" i="11"/>
  <c r="L113" i="11" s="1"/>
  <c r="P113" i="11" s="1"/>
  <c r="G113" i="11"/>
  <c r="F113" i="11"/>
  <c r="H111" i="11"/>
  <c r="H110" i="11"/>
  <c r="L109" i="11"/>
  <c r="P109" i="11" s="1"/>
  <c r="H108" i="11"/>
  <c r="H107" i="11"/>
  <c r="H106" i="11"/>
  <c r="L106" i="11" s="1"/>
  <c r="P106" i="11" s="1"/>
  <c r="H105" i="11"/>
  <c r="L105" i="11" s="1"/>
  <c r="P105" i="11" s="1"/>
  <c r="H104" i="11"/>
  <c r="P102" i="11"/>
  <c r="F96" i="11"/>
  <c r="F94" i="11"/>
  <c r="H94" i="11" s="1"/>
  <c r="I94" i="11" s="1"/>
  <c r="F92" i="11"/>
  <c r="F98" i="11"/>
  <c r="H98" i="11" s="1"/>
  <c r="I98" i="11" s="1"/>
  <c r="K84" i="11"/>
  <c r="F84" i="11"/>
  <c r="H86" i="11" s="1"/>
  <c r="J86" i="11" s="1"/>
  <c r="K76" i="11"/>
  <c r="F76" i="11"/>
  <c r="H78" i="11" s="1"/>
  <c r="J78" i="11" s="1"/>
  <c r="K68" i="11"/>
  <c r="F68" i="11"/>
  <c r="K60" i="11"/>
  <c r="F60" i="11"/>
  <c r="K52" i="11"/>
  <c r="F52" i="11"/>
  <c r="H54" i="11" s="1"/>
  <c r="J54" i="11" s="1"/>
  <c r="K44" i="11"/>
  <c r="F44" i="11"/>
  <c r="H48" i="11" s="1"/>
  <c r="J48" i="11" s="1"/>
  <c r="K36" i="11"/>
  <c r="F36" i="11"/>
  <c r="K28" i="11"/>
  <c r="F28" i="11"/>
  <c r="K20" i="11"/>
  <c r="F20" i="11"/>
  <c r="H22" i="11" s="1"/>
  <c r="J22" i="11" s="1"/>
  <c r="F18" i="11"/>
  <c r="F16" i="11"/>
  <c r="F14" i="11"/>
  <c r="F12" i="11"/>
  <c r="F10" i="11"/>
  <c r="H10" i="11" s="1"/>
  <c r="I10" i="11" s="1"/>
  <c r="L10" i="11" s="1"/>
  <c r="P17" i="8" s="1"/>
  <c r="H121" i="11"/>
  <c r="C46" i="10"/>
  <c r="C43" i="10"/>
  <c r="F30" i="10"/>
  <c r="F26" i="10"/>
  <c r="F25" i="10"/>
  <c r="F14" i="10"/>
  <c r="H85" i="11" l="1"/>
  <c r="I85" i="11" s="1"/>
  <c r="J85" i="11" s="1"/>
  <c r="H63" i="11"/>
  <c r="J63" i="11" s="1"/>
  <c r="H66" i="11"/>
  <c r="J66" i="11" s="1"/>
  <c r="J60" i="11" s="1"/>
  <c r="H82" i="11"/>
  <c r="J82" i="11" s="1"/>
  <c r="J76" i="11" s="1"/>
  <c r="H24" i="11"/>
  <c r="J24" i="11" s="1"/>
  <c r="H30" i="11"/>
  <c r="J30" i="11" s="1"/>
  <c r="H34" i="11"/>
  <c r="J34" i="11" s="1"/>
  <c r="J28" i="11" s="1"/>
  <c r="H26" i="11"/>
  <c r="J26" i="11" s="1"/>
  <c r="J20" i="11" s="1"/>
  <c r="H21" i="11"/>
  <c r="I21" i="11" s="1"/>
  <c r="J21" i="11" s="1"/>
  <c r="H31" i="11"/>
  <c r="J31" i="11" s="1"/>
  <c r="H46" i="11"/>
  <c r="J46" i="11" s="1"/>
  <c r="H58" i="11"/>
  <c r="J58" i="11" s="1"/>
  <c r="J52" i="11" s="1"/>
  <c r="H88" i="11"/>
  <c r="J88" i="11" s="1"/>
  <c r="H18" i="11"/>
  <c r="I18" i="11" s="1"/>
  <c r="H80" i="11"/>
  <c r="J80" i="11" s="1"/>
  <c r="H55" i="11"/>
  <c r="J55" i="11" s="1"/>
  <c r="H12" i="11"/>
  <c r="I12" i="11" s="1"/>
  <c r="L12" i="11" s="1"/>
  <c r="P12" i="11" s="1"/>
  <c r="H56" i="11"/>
  <c r="J56" i="11" s="1"/>
  <c r="H87" i="11"/>
  <c r="J87" i="11" s="1"/>
  <c r="H53" i="11"/>
  <c r="I53" i="11" s="1"/>
  <c r="J53" i="11" s="1"/>
  <c r="H16" i="11"/>
  <c r="I16" i="11" s="1"/>
  <c r="H14" i="11"/>
  <c r="I14" i="11" s="1"/>
  <c r="P10" i="11"/>
  <c r="H41" i="11"/>
  <c r="J41" i="11" s="1"/>
  <c r="H39" i="11"/>
  <c r="J39" i="11" s="1"/>
  <c r="H40" i="11"/>
  <c r="J40" i="11" s="1"/>
  <c r="H42" i="11"/>
  <c r="J42" i="11" s="1"/>
  <c r="J36" i="11" s="1"/>
  <c r="H92" i="11"/>
  <c r="I92" i="11" s="1"/>
  <c r="H37" i="11"/>
  <c r="H90" i="11"/>
  <c r="J90" i="11" s="1"/>
  <c r="J84" i="11" s="1"/>
  <c r="H73" i="11"/>
  <c r="J73" i="11" s="1"/>
  <c r="H71" i="11"/>
  <c r="J71" i="11" s="1"/>
  <c r="H72" i="11"/>
  <c r="J72" i="11" s="1"/>
  <c r="H69" i="11"/>
  <c r="H74" i="11"/>
  <c r="J74" i="11" s="1"/>
  <c r="J68" i="11" s="1"/>
  <c r="H77" i="11"/>
  <c r="H32" i="11"/>
  <c r="J32" i="11" s="1"/>
  <c r="H29" i="11"/>
  <c r="J121" i="11"/>
  <c r="H33" i="11"/>
  <c r="J33" i="11" s="1"/>
  <c r="H38" i="11"/>
  <c r="J38" i="11" s="1"/>
  <c r="H70" i="11"/>
  <c r="J70" i="11" s="1"/>
  <c r="H49" i="11"/>
  <c r="J49" i="11" s="1"/>
  <c r="H47" i="11"/>
  <c r="J47" i="11" s="1"/>
  <c r="H50" i="11"/>
  <c r="J50" i="11" s="1"/>
  <c r="H96" i="11"/>
  <c r="I96" i="11" s="1"/>
  <c r="H45" i="11"/>
  <c r="H23" i="11"/>
  <c r="J23" i="11" s="1"/>
  <c r="H65" i="11"/>
  <c r="J65" i="11" s="1"/>
  <c r="H25" i="11"/>
  <c r="J25" i="11" s="1"/>
  <c r="H57" i="11"/>
  <c r="J57" i="11" s="1"/>
  <c r="H79" i="11"/>
  <c r="J79" i="11" s="1"/>
  <c r="H89" i="11"/>
  <c r="J89" i="11" s="1"/>
  <c r="H61" i="11"/>
  <c r="H64" i="11"/>
  <c r="J64" i="11" s="1"/>
  <c r="H62" i="11"/>
  <c r="J62" i="11" s="1"/>
  <c r="H81" i="11"/>
  <c r="J81" i="11" s="1"/>
  <c r="H52" i="11" l="1"/>
  <c r="I37" i="11"/>
  <c r="J37" i="11" s="1"/>
  <c r="H36" i="11"/>
  <c r="H20" i="11"/>
  <c r="I29" i="11"/>
  <c r="J29" i="11" s="1"/>
  <c r="H28" i="11"/>
  <c r="H84" i="11"/>
  <c r="H76" i="11"/>
  <c r="I77" i="11"/>
  <c r="J77" i="11" s="1"/>
  <c r="I61" i="11"/>
  <c r="J61" i="11" s="1"/>
  <c r="H60" i="11"/>
  <c r="H44" i="11"/>
  <c r="I45" i="11"/>
  <c r="J45" i="11" s="1"/>
  <c r="J44" i="11" s="1"/>
  <c r="I69" i="11"/>
  <c r="J69" i="11" s="1"/>
  <c r="H68" i="11"/>
  <c r="J226" i="1" l="1"/>
  <c r="M226" i="1" s="1"/>
  <c r="C6" i="10" l="1"/>
  <c r="G100" i="11" l="1"/>
  <c r="D25" i="10"/>
  <c r="G77" i="11" s="1"/>
  <c r="G76" i="11" s="1"/>
  <c r="D11" i="10"/>
  <c r="G14" i="11" s="1"/>
  <c r="L14" i="11" s="1"/>
  <c r="G104" i="11"/>
  <c r="L104" i="11" s="1"/>
  <c r="D31" i="10"/>
  <c r="G125" i="11" s="1"/>
  <c r="L125" i="11" s="1"/>
  <c r="P125" i="11" s="1"/>
  <c r="D14" i="10"/>
  <c r="G121" i="11"/>
  <c r="L121" i="11" s="1"/>
  <c r="P121" i="11" s="1"/>
  <c r="D20" i="10"/>
  <c r="G45" i="11" s="1"/>
  <c r="G44" i="11" s="1"/>
  <c r="G115" i="11"/>
  <c r="L115" i="11" s="1"/>
  <c r="P115" i="11" s="1"/>
  <c r="D16" i="10"/>
  <c r="G21" i="11" s="1"/>
  <c r="G20" i="11" s="1"/>
  <c r="G119" i="11"/>
  <c r="L119" i="11" s="1"/>
  <c r="P119" i="11" s="1"/>
  <c r="D30" i="10"/>
  <c r="G96" i="11" s="1"/>
  <c r="L96" i="11" s="1"/>
  <c r="P96" i="11" s="1"/>
  <c r="D21" i="10"/>
  <c r="G53" i="11" s="1"/>
  <c r="G52" i="11" s="1"/>
  <c r="D26" i="10"/>
  <c r="G85" i="11" s="1"/>
  <c r="G84" i="11" s="1"/>
  <c r="G111" i="11"/>
  <c r="L111" i="11" s="1"/>
  <c r="P111" i="11" s="1"/>
  <c r="D28" i="10"/>
  <c r="G94" i="11" s="1"/>
  <c r="L94" i="11" s="1"/>
  <c r="P94" i="11" s="1"/>
  <c r="D19" i="10"/>
  <c r="G37" i="11" s="1"/>
  <c r="G36" i="11" s="1"/>
  <c r="D29" i="10"/>
  <c r="G92" i="11" s="1"/>
  <c r="L92" i="11" s="1"/>
  <c r="P92" i="11" s="1"/>
  <c r="D18" i="10"/>
  <c r="G29" i="11" s="1"/>
  <c r="G28" i="11" s="1"/>
  <c r="D32" i="10"/>
  <c r="G98" i="11" s="1"/>
  <c r="L98" i="11" s="1"/>
  <c r="P98" i="11" s="1"/>
  <c r="G120" i="11"/>
  <c r="L120" i="11" s="1"/>
  <c r="P120" i="11" s="1"/>
  <c r="G124" i="11"/>
  <c r="G123" i="11"/>
  <c r="L123" i="11" s="1"/>
  <c r="P123" i="11" s="1"/>
  <c r="D23" i="10"/>
  <c r="G61" i="11" s="1"/>
  <c r="G60" i="11" s="1"/>
  <c r="G108" i="11"/>
  <c r="L108" i="11" s="1"/>
  <c r="P108" i="11" s="1"/>
  <c r="D13" i="10"/>
  <c r="G18" i="11" s="1"/>
  <c r="L18" i="11" s="1"/>
  <c r="P18" i="11" s="1"/>
  <c r="G127" i="11"/>
  <c r="D24" i="10"/>
  <c r="G69" i="11" s="1"/>
  <c r="G68" i="11" s="1"/>
  <c r="D12" i="10"/>
  <c r="G16" i="11" s="1"/>
  <c r="L16" i="11" s="1"/>
  <c r="P16" i="11" s="1"/>
  <c r="G107" i="11"/>
  <c r="L107" i="11" s="1"/>
  <c r="P107" i="11" s="1"/>
  <c r="G110" i="11"/>
  <c r="L110" i="11" s="1"/>
  <c r="P110" i="11" s="1"/>
  <c r="G116" i="11"/>
  <c r="L116" i="11" s="1"/>
  <c r="P116" i="11" s="1"/>
  <c r="G129" i="11"/>
  <c r="J1131" i="1"/>
  <c r="M1131" i="1" s="1"/>
  <c r="J1092" i="1"/>
  <c r="M1092" i="1" s="1"/>
  <c r="J1091" i="1"/>
  <c r="M1091" i="1" s="1"/>
  <c r="J952" i="1"/>
  <c r="M952" i="1" s="1"/>
  <c r="J940" i="1"/>
  <c r="M940" i="1" s="1"/>
  <c r="J810" i="1"/>
  <c r="M810" i="1" s="1"/>
  <c r="J124" i="11" l="1"/>
  <c r="L124" i="11" s="1"/>
  <c r="G38" i="11"/>
  <c r="L37" i="11"/>
  <c r="G62" i="11"/>
  <c r="L61" i="11"/>
  <c r="G46" i="11"/>
  <c r="L45" i="11"/>
  <c r="G78" i="11"/>
  <c r="L77" i="11"/>
  <c r="G86" i="11"/>
  <c r="L85" i="11"/>
  <c r="G22" i="11"/>
  <c r="L21" i="11"/>
  <c r="G54" i="11"/>
  <c r="L53" i="11"/>
  <c r="G70" i="11"/>
  <c r="L69" i="11"/>
  <c r="P104" i="11"/>
  <c r="G30" i="11"/>
  <c r="L29" i="11"/>
  <c r="P14" i="11"/>
  <c r="J897" i="1"/>
  <c r="M897" i="1" s="1"/>
  <c r="P124" i="11" l="1"/>
  <c r="L127" i="11"/>
  <c r="H127" i="11" s="1"/>
  <c r="P20" i="11"/>
  <c r="G31" i="11"/>
  <c r="L30" i="11"/>
  <c r="P30" i="11" s="1"/>
  <c r="P68" i="11"/>
  <c r="P76" i="11"/>
  <c r="G71" i="11"/>
  <c r="L70" i="11"/>
  <c r="P70" i="11" s="1"/>
  <c r="G79" i="11"/>
  <c r="L78" i="11"/>
  <c r="P78" i="11" s="1"/>
  <c r="P28" i="11"/>
  <c r="G23" i="11"/>
  <c r="L22" i="11"/>
  <c r="P22" i="11" s="1"/>
  <c r="G63" i="11"/>
  <c r="L62" i="11"/>
  <c r="P62" i="11" s="1"/>
  <c r="P84" i="11"/>
  <c r="G39" i="11"/>
  <c r="L38" i="11"/>
  <c r="P38" i="11" s="1"/>
  <c r="P52" i="11"/>
  <c r="P44" i="11"/>
  <c r="P60" i="11"/>
  <c r="P36" i="11"/>
  <c r="G87" i="11"/>
  <c r="L86" i="11"/>
  <c r="P86" i="11" s="1"/>
  <c r="G55" i="11"/>
  <c r="L54" i="11"/>
  <c r="P54" i="11" s="1"/>
  <c r="G47" i="11"/>
  <c r="L46" i="11"/>
  <c r="P46" i="11" s="1"/>
  <c r="J825" i="1"/>
  <c r="M825" i="1" s="1"/>
  <c r="J773" i="1"/>
  <c r="M773" i="1" s="1"/>
  <c r="J764" i="1"/>
  <c r="M764" i="1" s="1"/>
  <c r="J746" i="1"/>
  <c r="M746" i="1" s="1"/>
  <c r="J721" i="1"/>
  <c r="M721" i="1" s="1"/>
  <c r="J728" i="1"/>
  <c r="M728" i="1" s="1"/>
  <c r="J729" i="1"/>
  <c r="M729" i="1" s="1"/>
  <c r="J672" i="1"/>
  <c r="M672" i="1" s="1"/>
  <c r="J656" i="1"/>
  <c r="M656" i="1" s="1"/>
  <c r="J600" i="1"/>
  <c r="M600" i="1" s="1"/>
  <c r="J543" i="1"/>
  <c r="M543" i="1" s="1"/>
  <c r="J527" i="1"/>
  <c r="M527" i="1" s="1"/>
  <c r="J525" i="1"/>
  <c r="M525" i="1" s="1"/>
  <c r="J523" i="1"/>
  <c r="M523" i="1" s="1"/>
  <c r="J374" i="1"/>
  <c r="M374" i="1" s="1"/>
  <c r="J373" i="1"/>
  <c r="M373" i="1" s="1"/>
  <c r="P127" i="11" l="1"/>
  <c r="G48" i="11"/>
  <c r="L47" i="11"/>
  <c r="P47" i="11" s="1"/>
  <c r="G40" i="11"/>
  <c r="L39" i="11"/>
  <c r="G56" i="11"/>
  <c r="L55" i="11"/>
  <c r="G80" i="11"/>
  <c r="L79" i="11"/>
  <c r="G32" i="11"/>
  <c r="L31" i="11"/>
  <c r="G24" i="11"/>
  <c r="L23" i="11"/>
  <c r="P23" i="11" s="1"/>
  <c r="G88" i="11"/>
  <c r="L87" i="11"/>
  <c r="G64" i="11"/>
  <c r="L63" i="11"/>
  <c r="G72" i="11"/>
  <c r="L71" i="11"/>
  <c r="J314" i="1"/>
  <c r="M314" i="1" s="1"/>
  <c r="J252" i="1"/>
  <c r="M252" i="1" s="1"/>
  <c r="J251" i="1"/>
  <c r="J185" i="1"/>
  <c r="M185" i="1" s="1"/>
  <c r="J169" i="1"/>
  <c r="M169" i="1" s="1"/>
  <c r="J155" i="1"/>
  <c r="M155" i="1" s="1"/>
  <c r="J144" i="1"/>
  <c r="J131" i="1"/>
  <c r="M131" i="1" s="1"/>
  <c r="J125" i="1"/>
  <c r="M125" i="1" s="1"/>
  <c r="J124" i="1"/>
  <c r="M124" i="1" s="1"/>
  <c r="J88" i="1"/>
  <c r="M88" i="1" s="1"/>
  <c r="M251" i="1" l="1"/>
  <c r="M144" i="1"/>
  <c r="G81" i="11"/>
  <c r="L80" i="11"/>
  <c r="P80" i="11" s="1"/>
  <c r="G89" i="11"/>
  <c r="L88" i="11"/>
  <c r="P88" i="11" s="1"/>
  <c r="P39" i="11"/>
  <c r="G65" i="11"/>
  <c r="L64" i="11"/>
  <c r="P64" i="11" s="1"/>
  <c r="P71" i="11"/>
  <c r="G25" i="11"/>
  <c r="L24" i="11"/>
  <c r="G41" i="11"/>
  <c r="L40" i="11"/>
  <c r="P40" i="11" s="1"/>
  <c r="P79" i="11"/>
  <c r="P55" i="11"/>
  <c r="P87" i="11"/>
  <c r="G57" i="11"/>
  <c r="L56" i="11"/>
  <c r="P56" i="11" s="1"/>
  <c r="G73" i="11"/>
  <c r="L72" i="11"/>
  <c r="P72" i="11" s="1"/>
  <c r="P31" i="11"/>
  <c r="P63" i="11"/>
  <c r="G33" i="11"/>
  <c r="L32" i="11"/>
  <c r="P32" i="11" s="1"/>
  <c r="G49" i="11"/>
  <c r="L48" i="11"/>
  <c r="C93" i="9"/>
  <c r="J692" i="1"/>
  <c r="M692" i="1" s="1"/>
  <c r="J187" i="1"/>
  <c r="M187" i="1" s="1"/>
  <c r="J32" i="1"/>
  <c r="M32" i="1" s="1"/>
  <c r="G19" i="1"/>
  <c r="G18" i="1" s="1"/>
  <c r="J1187" i="1"/>
  <c r="M1187" i="1" s="1"/>
  <c r="M1186" i="1"/>
  <c r="J1185" i="1"/>
  <c r="M1185" i="1" s="1"/>
  <c r="J1184" i="1"/>
  <c r="M1184" i="1" s="1"/>
  <c r="J1183" i="1"/>
  <c r="M1183" i="1" s="1"/>
  <c r="J1182" i="1"/>
  <c r="J1175" i="1"/>
  <c r="M1175" i="1" s="1"/>
  <c r="J1174" i="1"/>
  <c r="M1174" i="1" s="1"/>
  <c r="J1173" i="1"/>
  <c r="M1173" i="1" s="1"/>
  <c r="J1172" i="1"/>
  <c r="Q1286" i="1"/>
  <c r="Q1285" i="1"/>
  <c r="I1285" i="1" s="1"/>
  <c r="Q1284" i="1"/>
  <c r="I1284" i="1" s="1"/>
  <c r="Q1283" i="1"/>
  <c r="I1283" i="1" s="1"/>
  <c r="Q1282" i="1"/>
  <c r="I1282" i="1" s="1"/>
  <c r="Q1281" i="1"/>
  <c r="I1281" i="1" s="1"/>
  <c r="Q1280" i="1"/>
  <c r="I1280" i="1" s="1"/>
  <c r="Q1279" i="1"/>
  <c r="I1279" i="1" s="1"/>
  <c r="Q1278" i="1"/>
  <c r="I1278" i="1" s="1"/>
  <c r="Q1277" i="1"/>
  <c r="I1277" i="1" s="1"/>
  <c r="Q1276" i="1"/>
  <c r="I1276" i="1" s="1"/>
  <c r="Q1275" i="1"/>
  <c r="I1275" i="1" s="1"/>
  <c r="Q1274" i="1"/>
  <c r="I1274" i="1" s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C105" i="9" s="1"/>
  <c r="D1284" i="1"/>
  <c r="C104" i="9" s="1"/>
  <c r="D1283" i="1"/>
  <c r="C103" i="9" s="1"/>
  <c r="D1282" i="1"/>
  <c r="C102" i="9" s="1"/>
  <c r="D1281" i="1"/>
  <c r="C101" i="9" s="1"/>
  <c r="D1280" i="1"/>
  <c r="C100" i="9" s="1"/>
  <c r="D1279" i="1"/>
  <c r="C99" i="9" s="1"/>
  <c r="D1278" i="1"/>
  <c r="C98" i="9" s="1"/>
  <c r="D1277" i="1"/>
  <c r="C97" i="9" s="1"/>
  <c r="D1276" i="1"/>
  <c r="C96" i="9" s="1"/>
  <c r="D1275" i="1"/>
  <c r="C95" i="9" s="1"/>
  <c r="D1274" i="1"/>
  <c r="C94" i="9" s="1"/>
  <c r="Q1273" i="1"/>
  <c r="I1273" i="1" s="1"/>
  <c r="D87" i="9"/>
  <c r="D86" i="9"/>
  <c r="D85" i="9"/>
  <c r="D84" i="9"/>
  <c r="D83" i="9"/>
  <c r="D82" i="9"/>
  <c r="D81" i="9"/>
  <c r="D80" i="9"/>
  <c r="D79" i="9"/>
  <c r="D78" i="9"/>
  <c r="D77" i="9"/>
  <c r="D76" i="9"/>
  <c r="J1262" i="1"/>
  <c r="J1261" i="1"/>
  <c r="J1260" i="1"/>
  <c r="J1266" i="1"/>
  <c r="J1265" i="1"/>
  <c r="J1264" i="1"/>
  <c r="J1263" i="1"/>
  <c r="E7" i="9"/>
  <c r="E4" i="9"/>
  <c r="C43" i="2"/>
  <c r="J576" i="1"/>
  <c r="M576" i="1" s="1"/>
  <c r="J887" i="1"/>
  <c r="M887" i="1" s="1"/>
  <c r="J866" i="1"/>
  <c r="M866" i="1" s="1"/>
  <c r="J865" i="1"/>
  <c r="M865" i="1" s="1"/>
  <c r="J864" i="1"/>
  <c r="M864" i="1" s="1"/>
  <c r="J863" i="1"/>
  <c r="M863" i="1" s="1"/>
  <c r="J862" i="1"/>
  <c r="M862" i="1" s="1"/>
  <c r="J861" i="1"/>
  <c r="M861" i="1" s="1"/>
  <c r="J860" i="1"/>
  <c r="M860" i="1" s="1"/>
  <c r="J859" i="1"/>
  <c r="M859" i="1" s="1"/>
  <c r="J858" i="1"/>
  <c r="M858" i="1" s="1"/>
  <c r="J857" i="1"/>
  <c r="M857" i="1" s="1"/>
  <c r="J876" i="1"/>
  <c r="M876" i="1" s="1"/>
  <c r="J875" i="1"/>
  <c r="M875" i="1" s="1"/>
  <c r="J874" i="1"/>
  <c r="G993" i="1" l="1"/>
  <c r="P9" i="8"/>
  <c r="O10" i="8"/>
  <c r="G1212" i="1"/>
  <c r="C98" i="2"/>
  <c r="G997" i="1" s="1"/>
  <c r="J628" i="1"/>
  <c r="M628" i="1" s="1"/>
  <c r="G996" i="1"/>
  <c r="C81" i="2"/>
  <c r="G516" i="1" s="1"/>
  <c r="C72" i="2"/>
  <c r="G459" i="1" s="1"/>
  <c r="G992" i="1"/>
  <c r="C102" i="2"/>
  <c r="G1046" i="1" s="1"/>
  <c r="J1046" i="1" s="1"/>
  <c r="M1046" i="1" s="1"/>
  <c r="C47" i="2"/>
  <c r="J696" i="1" s="1"/>
  <c r="M696" i="1" s="1"/>
  <c r="C68" i="2"/>
  <c r="E81" i="9"/>
  <c r="M1260" i="1"/>
  <c r="E82" i="9"/>
  <c r="M1261" i="1"/>
  <c r="E83" i="9"/>
  <c r="M1262" i="1"/>
  <c r="E84" i="9"/>
  <c r="M1263" i="1"/>
  <c r="E85" i="9"/>
  <c r="M1264" i="1"/>
  <c r="E87" i="9"/>
  <c r="M1266" i="1"/>
  <c r="E86" i="9"/>
  <c r="M1265" i="1"/>
  <c r="I1286" i="1"/>
  <c r="J1286" i="1" s="1"/>
  <c r="M1182" i="1"/>
  <c r="N1180" i="1" s="1"/>
  <c r="J1180" i="1"/>
  <c r="M1172" i="1"/>
  <c r="N1170" i="1" s="1"/>
  <c r="J1170" i="1"/>
  <c r="M874" i="1"/>
  <c r="N872" i="1" s="1"/>
  <c r="J872" i="1"/>
  <c r="F101" i="2"/>
  <c r="C101" i="2" s="1"/>
  <c r="G1045" i="1" s="1"/>
  <c r="C84" i="2"/>
  <c r="G913" i="1" s="1"/>
  <c r="C62" i="2"/>
  <c r="G367" i="1" s="1"/>
  <c r="J1279" i="1"/>
  <c r="F99" i="9" s="1"/>
  <c r="E99" i="9"/>
  <c r="J1280" i="1"/>
  <c r="F100" i="9" s="1"/>
  <c r="E100" i="9"/>
  <c r="J1281" i="1"/>
  <c r="F101" i="9" s="1"/>
  <c r="E101" i="9"/>
  <c r="J1274" i="1"/>
  <c r="F94" i="9" s="1"/>
  <c r="E94" i="9"/>
  <c r="J1282" i="1"/>
  <c r="E102" i="9"/>
  <c r="J1283" i="1"/>
  <c r="E103" i="9"/>
  <c r="J1276" i="1"/>
  <c r="F96" i="9" s="1"/>
  <c r="E96" i="9"/>
  <c r="J1284" i="1"/>
  <c r="E104" i="9"/>
  <c r="J1277" i="1"/>
  <c r="F97" i="9" s="1"/>
  <c r="E97" i="9"/>
  <c r="J1285" i="1"/>
  <c r="E105" i="9"/>
  <c r="J1278" i="1"/>
  <c r="F98" i="9" s="1"/>
  <c r="E98" i="9"/>
  <c r="J1273" i="1"/>
  <c r="F93" i="9" s="1"/>
  <c r="E93" i="9"/>
  <c r="J1275" i="1"/>
  <c r="F95" i="9" s="1"/>
  <c r="E95" i="9"/>
  <c r="G50" i="11"/>
  <c r="L50" i="11" s="1"/>
  <c r="P50" i="11" s="1"/>
  <c r="L49" i="11"/>
  <c r="P49" i="11" s="1"/>
  <c r="G74" i="11"/>
  <c r="L74" i="11" s="1"/>
  <c r="P74" i="11" s="1"/>
  <c r="L73" i="11"/>
  <c r="P73" i="11" s="1"/>
  <c r="G66" i="11"/>
  <c r="L66" i="11" s="1"/>
  <c r="P66" i="11" s="1"/>
  <c r="L65" i="11"/>
  <c r="P65" i="11" s="1"/>
  <c r="G58" i="11"/>
  <c r="L58" i="11" s="1"/>
  <c r="P58" i="11" s="1"/>
  <c r="L57" i="11"/>
  <c r="P57" i="11" s="1"/>
  <c r="G42" i="11"/>
  <c r="L42" i="11" s="1"/>
  <c r="P42" i="11" s="1"/>
  <c r="L41" i="11"/>
  <c r="P41" i="11" s="1"/>
  <c r="G82" i="11"/>
  <c r="L82" i="11" s="1"/>
  <c r="P82" i="11" s="1"/>
  <c r="L81" i="11"/>
  <c r="P48" i="11"/>
  <c r="G34" i="11"/>
  <c r="L34" i="11" s="1"/>
  <c r="P34" i="11" s="1"/>
  <c r="L33" i="11"/>
  <c r="P33" i="11" s="1"/>
  <c r="P24" i="11"/>
  <c r="G26" i="11"/>
  <c r="L26" i="11" s="1"/>
  <c r="P26" i="11" s="1"/>
  <c r="L25" i="11"/>
  <c r="P25" i="11" s="1"/>
  <c r="G90" i="11"/>
  <c r="L90" i="11" s="1"/>
  <c r="P90" i="11" s="1"/>
  <c r="L89" i="11"/>
  <c r="G470" i="1" l="1"/>
  <c r="A1180" i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E61" i="9"/>
  <c r="E60" i="9"/>
  <c r="A1170" i="1"/>
  <c r="A1171" i="1" s="1"/>
  <c r="A1172" i="1" s="1"/>
  <c r="A1173" i="1" s="1"/>
  <c r="A1174" i="1" s="1"/>
  <c r="A1175" i="1" s="1"/>
  <c r="A1176" i="1" s="1"/>
  <c r="A1177" i="1" s="1"/>
  <c r="A1178" i="1" s="1"/>
  <c r="A1179" i="1" s="1"/>
  <c r="J459" i="1"/>
  <c r="M459" i="1" s="1"/>
  <c r="G502" i="1"/>
  <c r="C65" i="2"/>
  <c r="G376" i="1" s="1"/>
  <c r="G468" i="1"/>
  <c r="G394" i="1"/>
  <c r="G915" i="1"/>
  <c r="G916" i="1"/>
  <c r="J871" i="1"/>
  <c r="A872" i="1"/>
  <c r="A873" i="1" s="1"/>
  <c r="A874" i="1" s="1"/>
  <c r="A875" i="1" s="1"/>
  <c r="A876" i="1" s="1"/>
  <c r="G80" i="1"/>
  <c r="J80" i="1" s="1"/>
  <c r="M80" i="1" s="1"/>
  <c r="J79" i="1"/>
  <c r="M79" i="1" s="1"/>
  <c r="L36" i="11"/>
  <c r="L68" i="11"/>
  <c r="L44" i="11"/>
  <c r="E51" i="9"/>
  <c r="N871" i="1"/>
  <c r="P89" i="11"/>
  <c r="L84" i="11"/>
  <c r="L52" i="11"/>
  <c r="L60" i="11"/>
  <c r="P81" i="11"/>
  <c r="L76" i="11"/>
  <c r="L20" i="11"/>
  <c r="L28" i="11"/>
  <c r="J856" i="1"/>
  <c r="J854" i="1" s="1"/>
  <c r="J886" i="1"/>
  <c r="M886" i="1" s="1"/>
  <c r="A854" i="1" l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/>
  <c r="A879" i="1"/>
  <c r="A880" i="1" s="1"/>
  <c r="A877" i="1"/>
  <c r="A878" i="1" s="1"/>
  <c r="G1058" i="1"/>
  <c r="G627" i="1" s="1"/>
  <c r="M856" i="1"/>
  <c r="N854" i="1" s="1"/>
  <c r="L100" i="11"/>
  <c r="H100" i="11" s="1"/>
  <c r="E50" i="9" l="1"/>
  <c r="L129" i="11"/>
  <c r="H129" i="11" s="1"/>
  <c r="P100" i="11"/>
  <c r="G13" i="1"/>
  <c r="G12" i="1"/>
  <c r="G11" i="1"/>
  <c r="J18" i="1"/>
  <c r="M18" i="1" s="1"/>
  <c r="J15" i="1"/>
  <c r="M15" i="1" s="1"/>
  <c r="N14" i="1" s="1"/>
  <c r="N3" i="11" l="1"/>
  <c r="P129" i="11"/>
  <c r="J806" i="1"/>
  <c r="M806" i="1" s="1"/>
  <c r="G59" i="1" l="1"/>
  <c r="J70" i="1"/>
  <c r="M70" i="1" s="1"/>
  <c r="J68" i="1"/>
  <c r="M68" i="1" s="1"/>
  <c r="J71" i="1"/>
  <c r="M71" i="1" s="1"/>
  <c r="J69" i="1"/>
  <c r="M69" i="1" s="1"/>
  <c r="G41" i="1"/>
  <c r="I12" i="1"/>
  <c r="J12" i="1" s="1"/>
  <c r="M12" i="1" s="1"/>
  <c r="I11" i="1"/>
  <c r="G9" i="1"/>
  <c r="I13" i="1" l="1"/>
  <c r="J13" i="1" s="1"/>
  <c r="M13" i="1" s="1"/>
  <c r="J11" i="1"/>
  <c r="M11" i="1" s="1"/>
  <c r="N10" i="1" l="1"/>
  <c r="J951" i="1"/>
  <c r="M951" i="1" s="1"/>
  <c r="J950" i="1"/>
  <c r="M950" i="1" s="1"/>
  <c r="J498" i="1" l="1"/>
  <c r="M498" i="1" s="1"/>
  <c r="J74" i="1" l="1"/>
  <c r="M74" i="1" s="1"/>
  <c r="J1085" i="1"/>
  <c r="M1085" i="1" s="1"/>
  <c r="J1135" i="1"/>
  <c r="M1135" i="1" s="1"/>
  <c r="J726" i="1"/>
  <c r="M726" i="1" s="1"/>
  <c r="J214" i="1" l="1"/>
  <c r="M214" i="1" s="1"/>
  <c r="J215" i="1"/>
  <c r="M215" i="1" s="1"/>
  <c r="J217" i="1"/>
  <c r="M217" i="1" s="1"/>
  <c r="J218" i="1"/>
  <c r="M218" i="1" s="1"/>
  <c r="J221" i="1"/>
  <c r="M221" i="1" s="1"/>
  <c r="J224" i="1"/>
  <c r="M224" i="1" s="1"/>
  <c r="J225" i="1"/>
  <c r="M225" i="1" s="1"/>
  <c r="J253" i="1"/>
  <c r="J216" i="1"/>
  <c r="M216" i="1" s="1"/>
  <c r="M253" i="1" l="1"/>
  <c r="J473" i="1"/>
  <c r="M473" i="1" s="1"/>
  <c r="J465" i="1"/>
  <c r="M465" i="1" s="1"/>
  <c r="J458" i="1"/>
  <c r="M458" i="1" s="1"/>
  <c r="J460" i="1"/>
  <c r="M460" i="1" s="1"/>
  <c r="J461" i="1"/>
  <c r="M461" i="1" s="1"/>
  <c r="J463" i="1"/>
  <c r="M463" i="1" s="1"/>
  <c r="J466" i="1"/>
  <c r="M466" i="1" s="1"/>
  <c r="J467" i="1"/>
  <c r="M467" i="1" s="1"/>
  <c r="J468" i="1"/>
  <c r="M468" i="1" s="1"/>
  <c r="J470" i="1"/>
  <c r="M470" i="1" s="1"/>
  <c r="G471" i="1"/>
  <c r="J471" i="1" s="1"/>
  <c r="M471" i="1" s="1"/>
  <c r="J472" i="1"/>
  <c r="M472" i="1" s="1"/>
  <c r="J91" i="1"/>
  <c r="M91" i="1" s="1"/>
  <c r="J89" i="1"/>
  <c r="M89" i="1" s="1"/>
  <c r="J85" i="1"/>
  <c r="M85" i="1" s="1"/>
  <c r="J84" i="1"/>
  <c r="M84" i="1" s="1"/>
  <c r="J82" i="1"/>
  <c r="M82" i="1" s="1"/>
  <c r="J81" i="1"/>
  <c r="M81" i="1" s="1"/>
  <c r="J73" i="1"/>
  <c r="M73" i="1" s="1"/>
  <c r="J72" i="1"/>
  <c r="M72" i="1" s="1"/>
  <c r="J65" i="1"/>
  <c r="M65" i="1" s="1"/>
  <c r="J64" i="1"/>
  <c r="M64" i="1" s="1"/>
  <c r="J63" i="1"/>
  <c r="M63" i="1" s="1"/>
  <c r="J62" i="1"/>
  <c r="M62" i="1" s="1"/>
  <c r="J61" i="1"/>
  <c r="M61" i="1" s="1"/>
  <c r="J58" i="1"/>
  <c r="J66" i="1"/>
  <c r="M66" i="1" s="1"/>
  <c r="M58" i="1" l="1"/>
  <c r="J917" i="1"/>
  <c r="M917" i="1" s="1"/>
  <c r="J565" i="1"/>
  <c r="M565" i="1" s="1"/>
  <c r="G504" i="1"/>
  <c r="J41" i="1" l="1"/>
  <c r="J602" i="1"/>
  <c r="M602" i="1" s="1"/>
  <c r="J39" i="1" l="1"/>
  <c r="M41" i="1"/>
  <c r="G464" i="1"/>
  <c r="J464" i="1" s="1"/>
  <c r="M464" i="1" s="1"/>
  <c r="J838" i="1"/>
  <c r="M838" i="1" s="1"/>
  <c r="J60" i="1"/>
  <c r="M60" i="1" s="1"/>
  <c r="J59" i="1"/>
  <c r="G1244" i="1"/>
  <c r="A39" i="1" l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N39" i="1"/>
  <c r="M59" i="1"/>
  <c r="J1047" i="1"/>
  <c r="M1047" i="1" s="1"/>
  <c r="G1237" i="1"/>
  <c r="G1236" i="1"/>
  <c r="G1221" i="1"/>
  <c r="J1221" i="1" s="1"/>
  <c r="M1221" i="1" s="1"/>
  <c r="J1256" i="1"/>
  <c r="E13" i="9" l="1"/>
  <c r="E77" i="9"/>
  <c r="M1256" i="1"/>
  <c r="J562" i="1"/>
  <c r="M562" i="1" s="1"/>
  <c r="J208" i="1" l="1"/>
  <c r="M208" i="1" s="1"/>
  <c r="J801" i="1"/>
  <c r="M801" i="1" s="1"/>
  <c r="J670" i="1"/>
  <c r="M670" i="1" s="1"/>
  <c r="J669" i="1"/>
  <c r="M669" i="1" s="1"/>
  <c r="J650" i="1"/>
  <c r="M650" i="1" s="1"/>
  <c r="J652" i="1"/>
  <c r="M652" i="1" s="1"/>
  <c r="G1099" i="1"/>
  <c r="G1097" i="1"/>
  <c r="J1097" i="1" s="1"/>
  <c r="M1097" i="1" s="1"/>
  <c r="J935" i="1"/>
  <c r="M935" i="1" s="1"/>
  <c r="J846" i="1"/>
  <c r="M846" i="1" s="1"/>
  <c r="J845" i="1"/>
  <c r="M845" i="1" s="1"/>
  <c r="J564" i="1"/>
  <c r="M564" i="1" s="1"/>
  <c r="J191" i="1"/>
  <c r="M191" i="1" s="1"/>
  <c r="J190" i="1"/>
  <c r="M190" i="1" s="1"/>
  <c r="J157" i="1"/>
  <c r="M157" i="1" s="1"/>
  <c r="J241" i="1"/>
  <c r="M241" i="1" s="1"/>
  <c r="J242" i="1"/>
  <c r="M242" i="1" s="1"/>
  <c r="J316" i="1"/>
  <c r="M316" i="1" s="1"/>
  <c r="J315" i="1"/>
  <c r="M315" i="1" s="1"/>
  <c r="J239" i="1"/>
  <c r="M239" i="1" s="1"/>
  <c r="J240" i="1"/>
  <c r="M240" i="1" s="1"/>
  <c r="J109" i="1" l="1"/>
  <c r="M109" i="1" s="1"/>
  <c r="J699" i="1" l="1"/>
  <c r="M699" i="1" s="1"/>
  <c r="J1022" i="1"/>
  <c r="M1022" i="1" l="1"/>
  <c r="G594" i="1"/>
  <c r="J594" i="1" s="1"/>
  <c r="M594" i="1" s="1"/>
  <c r="J549" i="1"/>
  <c r="M549" i="1" s="1"/>
  <c r="J575" i="1"/>
  <c r="M575" i="1" s="1"/>
  <c r="G503" i="1"/>
  <c r="J369" i="1"/>
  <c r="M369" i="1" s="1"/>
  <c r="J319" i="1"/>
  <c r="M319" i="1" s="1"/>
  <c r="J313" i="1"/>
  <c r="J207" i="1"/>
  <c r="M207" i="1" s="1"/>
  <c r="J210" i="1"/>
  <c r="M210" i="1" s="1"/>
  <c r="J209" i="1"/>
  <c r="M209" i="1" s="1"/>
  <c r="J206" i="1"/>
  <c r="M206" i="1" s="1"/>
  <c r="J205" i="1"/>
  <c r="M205" i="1" s="1"/>
  <c r="J193" i="1"/>
  <c r="M193" i="1" s="1"/>
  <c r="J184" i="1"/>
  <c r="M184" i="1" s="1"/>
  <c r="J183" i="1"/>
  <c r="M183" i="1" s="1"/>
  <c r="J156" i="1"/>
  <c r="M156" i="1" s="1"/>
  <c r="J1113" i="1"/>
  <c r="M1113" i="1" s="1"/>
  <c r="J1161" i="1"/>
  <c r="M1161" i="1" s="1"/>
  <c r="J1160" i="1"/>
  <c r="M1160" i="1" s="1"/>
  <c r="J1074" i="1"/>
  <c r="M1074" i="1" s="1"/>
  <c r="J843" i="1"/>
  <c r="M843" i="1" s="1"/>
  <c r="J844" i="1"/>
  <c r="M844" i="1" s="1"/>
  <c r="J836" i="1"/>
  <c r="M836" i="1" s="1"/>
  <c r="M313" i="1" l="1"/>
  <c r="J953" i="1"/>
  <c r="M953" i="1" s="1"/>
  <c r="J959" i="1"/>
  <c r="M959" i="1" s="1"/>
  <c r="G772" i="1"/>
  <c r="G758" i="1"/>
  <c r="J627" i="1"/>
  <c r="M627" i="1" s="1"/>
  <c r="G501" i="1"/>
  <c r="G760" i="1" l="1"/>
  <c r="G1098" i="1" l="1"/>
  <c r="J642" i="1" l="1"/>
  <c r="M642" i="1" s="1"/>
  <c r="J641" i="1"/>
  <c r="M641" i="1" s="1"/>
  <c r="J640" i="1"/>
  <c r="M640" i="1" s="1"/>
  <c r="J486" i="1"/>
  <c r="M486" i="1" s="1"/>
  <c r="J19" i="1" l="1"/>
  <c r="M19" i="1" s="1"/>
  <c r="N17" i="1" l="1"/>
  <c r="S9" i="1"/>
  <c r="S10" i="1"/>
  <c r="J487" i="1"/>
  <c r="M487" i="1" s="1"/>
  <c r="G4" i="1"/>
  <c r="Q9" i="1" l="1"/>
  <c r="T11" i="1"/>
  <c r="T9" i="1"/>
  <c r="U9" i="1" s="1"/>
  <c r="J655" i="1"/>
  <c r="M655" i="1" s="1"/>
  <c r="J657" i="1"/>
  <c r="M657" i="1" s="1"/>
  <c r="J658" i="1"/>
  <c r="M658" i="1" s="1"/>
  <c r="J660" i="1"/>
  <c r="M660" i="1" s="1"/>
  <c r="J551" i="1"/>
  <c r="M551" i="1" s="1"/>
  <c r="J447" i="1"/>
  <c r="M447" i="1" s="1"/>
  <c r="J448" i="1"/>
  <c r="M448" i="1" s="1"/>
  <c r="J977" i="1"/>
  <c r="M977" i="1" s="1"/>
  <c r="J1139" i="1"/>
  <c r="M1139" i="1" s="1"/>
  <c r="J1159" i="1"/>
  <c r="M1159" i="1" s="1"/>
  <c r="J1087" i="1"/>
  <c r="M1087" i="1" s="1"/>
  <c r="J1084" i="1" l="1"/>
  <c r="M1084" i="1" s="1"/>
  <c r="J1086" i="1"/>
  <c r="M1086" i="1" s="1"/>
  <c r="J961" i="1"/>
  <c r="M961" i="1" s="1"/>
  <c r="J962" i="1"/>
  <c r="M962" i="1" s="1"/>
  <c r="J963" i="1"/>
  <c r="M963" i="1" s="1"/>
  <c r="J960" i="1"/>
  <c r="M960" i="1" s="1"/>
  <c r="J896" i="1"/>
  <c r="M896" i="1" s="1"/>
  <c r="J802" i="1"/>
  <c r="M802" i="1" s="1"/>
  <c r="J803" i="1"/>
  <c r="M803" i="1" s="1"/>
  <c r="J804" i="1"/>
  <c r="M804" i="1" s="1"/>
  <c r="J807" i="1"/>
  <c r="M807" i="1" s="1"/>
  <c r="J809" i="1"/>
  <c r="M809" i="1" s="1"/>
  <c r="J790" i="1"/>
  <c r="M790" i="1" s="1"/>
  <c r="J722" i="1"/>
  <c r="M722" i="1" s="1"/>
  <c r="J723" i="1"/>
  <c r="M723" i="1" s="1"/>
  <c r="J715" i="1"/>
  <c r="J505" i="1"/>
  <c r="M505" i="1" s="1"/>
  <c r="J441" i="1"/>
  <c r="M441" i="1" s="1"/>
  <c r="J442" i="1"/>
  <c r="M442" i="1" s="1"/>
  <c r="J101" i="1"/>
  <c r="M101" i="1" s="1"/>
  <c r="J102" i="1"/>
  <c r="M102" i="1" s="1"/>
  <c r="J103" i="1"/>
  <c r="M103" i="1" s="1"/>
  <c r="J104" i="1"/>
  <c r="M104" i="1" s="1"/>
  <c r="J105" i="1"/>
  <c r="M105" i="1" s="1"/>
  <c r="J106" i="1"/>
  <c r="M106" i="1" s="1"/>
  <c r="J107" i="1"/>
  <c r="M107" i="1" s="1"/>
  <c r="J108" i="1"/>
  <c r="M108" i="1" s="1"/>
  <c r="J111" i="1"/>
  <c r="M111" i="1" s="1"/>
  <c r="J113" i="1"/>
  <c r="M113" i="1" s="1"/>
  <c r="J114" i="1"/>
  <c r="M114" i="1" s="1"/>
  <c r="J115" i="1"/>
  <c r="M115" i="1" s="1"/>
  <c r="J116" i="1"/>
  <c r="M116" i="1" s="1"/>
  <c r="J117" i="1"/>
  <c r="M117" i="1" s="1"/>
  <c r="J118" i="1"/>
  <c r="M118" i="1" s="1"/>
  <c r="J119" i="1"/>
  <c r="M119" i="1" s="1"/>
  <c r="J120" i="1"/>
  <c r="M120" i="1" s="1"/>
  <c r="J121" i="1"/>
  <c r="M121" i="1" s="1"/>
  <c r="J317" i="1"/>
  <c r="J318" i="1"/>
  <c r="M318" i="1" s="1"/>
  <c r="J957" i="1"/>
  <c r="M957" i="1" s="1"/>
  <c r="J958" i="1"/>
  <c r="M958" i="1" s="1"/>
  <c r="M715" i="1" l="1"/>
  <c r="M317" i="1"/>
  <c r="J323" i="1"/>
  <c r="M323" i="1" s="1"/>
  <c r="J915" i="1"/>
  <c r="M915" i="1" s="1"/>
  <c r="J919" i="1"/>
  <c r="M919" i="1" s="1"/>
  <c r="J983" i="1"/>
  <c r="M983" i="1" s="1"/>
  <c r="J984" i="1"/>
  <c r="M984" i="1" s="1"/>
  <c r="J1054" i="1" l="1"/>
  <c r="M1054" i="1" s="1"/>
  <c r="J1034" i="1"/>
  <c r="M1034" i="1" s="1"/>
  <c r="J1035" i="1"/>
  <c r="M1035" i="1" s="1"/>
  <c r="J573" i="1"/>
  <c r="M573" i="1" s="1"/>
  <c r="J574" i="1"/>
  <c r="M574" i="1" s="1"/>
  <c r="J365" i="1"/>
  <c r="M365" i="1" s="1"/>
  <c r="J346" i="1"/>
  <c r="M346" i="1" s="1"/>
  <c r="J195" i="1"/>
  <c r="M195" i="1" s="1"/>
  <c r="J173" i="1"/>
  <c r="M173" i="1" s="1"/>
  <c r="J161" i="1"/>
  <c r="M161" i="1" s="1"/>
  <c r="J137" i="1"/>
  <c r="M137" i="1" s="1"/>
  <c r="J192" i="1"/>
  <c r="M192" i="1" s="1"/>
  <c r="J1229" i="1"/>
  <c r="M1229" i="1" s="1"/>
  <c r="P16" i="8" s="1"/>
  <c r="P18" i="8" s="1"/>
  <c r="J1235" i="1"/>
  <c r="M1235" i="1" s="1"/>
  <c r="J1236" i="1"/>
  <c r="M1236" i="1" s="1"/>
  <c r="J1238" i="1"/>
  <c r="M1238" i="1" s="1"/>
  <c r="J1111" i="1"/>
  <c r="M1111" i="1" s="1"/>
  <c r="J1115" i="1"/>
  <c r="M1115" i="1" s="1"/>
  <c r="J1116" i="1"/>
  <c r="M1116" i="1" s="1"/>
  <c r="J812" i="1"/>
  <c r="M812" i="1" s="1"/>
  <c r="J814" i="1"/>
  <c r="M814" i="1" s="1"/>
  <c r="J816" i="1"/>
  <c r="M816" i="1" s="1"/>
  <c r="J818" i="1"/>
  <c r="M818" i="1" s="1"/>
  <c r="J819" i="1"/>
  <c r="M819" i="1" s="1"/>
  <c r="J820" i="1"/>
  <c r="M820" i="1" s="1"/>
  <c r="J706" i="1"/>
  <c r="J707" i="1"/>
  <c r="M707" i="1" s="1"/>
  <c r="M706" i="1" l="1"/>
  <c r="J956" i="1"/>
  <c r="M956" i="1" s="1"/>
  <c r="J1233" i="1" l="1"/>
  <c r="M1233" i="1" s="1"/>
  <c r="G275" i="1"/>
  <c r="J1234" i="1" l="1"/>
  <c r="M1234" i="1" s="1"/>
  <c r="N1232" i="1" s="1"/>
  <c r="E71" i="9" l="1"/>
  <c r="J213" i="1" l="1"/>
  <c r="M213" i="1" s="1"/>
  <c r="J320" i="1"/>
  <c r="J321" i="1"/>
  <c r="M321" i="1" s="1"/>
  <c r="J322" i="1"/>
  <c r="M322" i="1" s="1"/>
  <c r="M320" i="1" l="1"/>
  <c r="N311" i="1" s="1"/>
  <c r="J311" i="1"/>
  <c r="C35" i="2"/>
  <c r="G626" i="1" s="1"/>
  <c r="A311" i="1" l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C80" i="2"/>
  <c r="G513" i="1" s="1"/>
  <c r="G342" i="1"/>
  <c r="G344" i="1" s="1"/>
  <c r="G392" i="1"/>
  <c r="G609" i="1" s="1"/>
  <c r="G610" i="1" s="1"/>
  <c r="G1070" i="1"/>
  <c r="G457" i="1"/>
  <c r="J457" i="1" s="1"/>
  <c r="J718" i="1"/>
  <c r="M718" i="1" s="1"/>
  <c r="J654" i="1"/>
  <c r="M654" i="1" s="1"/>
  <c r="G393" i="1" l="1"/>
  <c r="M457" i="1"/>
  <c r="G736" i="1"/>
  <c r="J469" i="1"/>
  <c r="M469" i="1" s="1"/>
  <c r="G500" i="1"/>
  <c r="G748" i="1"/>
  <c r="J761" i="1"/>
  <c r="M761" i="1" s="1"/>
  <c r="J639" i="1"/>
  <c r="M639" i="1" s="1"/>
  <c r="J651" i="1"/>
  <c r="M651" i="1" s="1"/>
  <c r="J653" i="1"/>
  <c r="M653" i="1" s="1"/>
  <c r="J610" i="1" l="1"/>
  <c r="M610" i="1" s="1"/>
  <c r="J611" i="1"/>
  <c r="M611" i="1" s="1"/>
  <c r="J884" i="1"/>
  <c r="J885" i="1"/>
  <c r="M885" i="1" s="1"/>
  <c r="J1195" i="1"/>
  <c r="M1195" i="1" s="1"/>
  <c r="J1061" i="1"/>
  <c r="M1061" i="1" s="1"/>
  <c r="J1088" i="1"/>
  <c r="M1088" i="1" s="1"/>
  <c r="J1089" i="1"/>
  <c r="M1089" i="1" s="1"/>
  <c r="J922" i="1"/>
  <c r="M922" i="1" s="1"/>
  <c r="M884" i="1" l="1"/>
  <c r="N882" i="1" s="1"/>
  <c r="J882" i="1"/>
  <c r="J1259" i="1"/>
  <c r="J1059" i="1"/>
  <c r="M1059" i="1" s="1"/>
  <c r="J881" i="1" l="1"/>
  <c r="A882" i="1"/>
  <c r="A883" i="1" s="1"/>
  <c r="A884" i="1" s="1"/>
  <c r="A885" i="1" s="1"/>
  <c r="A886" i="1" s="1"/>
  <c r="A887" i="1" s="1"/>
  <c r="A888" i="1" s="1"/>
  <c r="A889" i="1" s="1"/>
  <c r="A890" i="1" s="1"/>
  <c r="A891" i="1" s="1"/>
  <c r="E80" i="9"/>
  <c r="M1259" i="1"/>
  <c r="E52" i="9"/>
  <c r="N881" i="1"/>
  <c r="J159" i="1"/>
  <c r="M159" i="1" s="1"/>
  <c r="J147" i="1"/>
  <c r="M147" i="1" s="1"/>
  <c r="J129" i="1"/>
  <c r="M129" i="1" s="1"/>
  <c r="J189" i="1"/>
  <c r="M189" i="1" s="1"/>
  <c r="J771" i="1"/>
  <c r="M771" i="1" s="1"/>
  <c r="J1258" i="1"/>
  <c r="J1102" i="1"/>
  <c r="M1102" i="1" s="1"/>
  <c r="J1098" i="1"/>
  <c r="M1098" i="1" s="1"/>
  <c r="J1257" i="1"/>
  <c r="J1052" i="1"/>
  <c r="M1052" i="1" s="1"/>
  <c r="J1051" i="1"/>
  <c r="M1051" i="1" s="1"/>
  <c r="J1050" i="1"/>
  <c r="M1050" i="1" s="1"/>
  <c r="J1090" i="1"/>
  <c r="M1090" i="1" s="1"/>
  <c r="J1053" i="1"/>
  <c r="M1053" i="1" s="1"/>
  <c r="J630" i="1"/>
  <c r="M630" i="1" s="1"/>
  <c r="J841" i="1"/>
  <c r="M841" i="1" s="1"/>
  <c r="J839" i="1"/>
  <c r="M839" i="1" s="1"/>
  <c r="J748" i="1"/>
  <c r="M748" i="1" s="1"/>
  <c r="J742" i="1"/>
  <c r="M742" i="1" s="1"/>
  <c r="J345" i="1"/>
  <c r="M345" i="1" s="1"/>
  <c r="J347" i="1"/>
  <c r="M347" i="1" s="1"/>
  <c r="J982" i="1"/>
  <c r="M982" i="1" s="1"/>
  <c r="J840" i="1"/>
  <c r="M840" i="1" s="1"/>
  <c r="J842" i="1"/>
  <c r="M842" i="1" s="1"/>
  <c r="J372" i="1"/>
  <c r="M372" i="1" s="1"/>
  <c r="J371" i="1"/>
  <c r="M371" i="1" s="1"/>
  <c r="J375" i="1"/>
  <c r="M375" i="1" s="1"/>
  <c r="J376" i="1"/>
  <c r="M376" i="1" s="1"/>
  <c r="J377" i="1"/>
  <c r="M377" i="1" s="1"/>
  <c r="J407" i="1"/>
  <c r="M407" i="1" s="1"/>
  <c r="J408" i="1"/>
  <c r="M408" i="1" s="1"/>
  <c r="J409" i="1"/>
  <c r="M409" i="1" s="1"/>
  <c r="J410" i="1"/>
  <c r="M410" i="1" s="1"/>
  <c r="J411" i="1"/>
  <c r="M411" i="1" s="1"/>
  <c r="J436" i="1"/>
  <c r="M436" i="1" s="1"/>
  <c r="J437" i="1"/>
  <c r="M437" i="1" s="1"/>
  <c r="J438" i="1"/>
  <c r="M438" i="1" s="1"/>
  <c r="J439" i="1"/>
  <c r="M439" i="1" s="1"/>
  <c r="J440" i="1"/>
  <c r="M440" i="1" s="1"/>
  <c r="J444" i="1"/>
  <c r="M444" i="1" s="1"/>
  <c r="J445" i="1"/>
  <c r="M445" i="1" s="1"/>
  <c r="J446" i="1"/>
  <c r="M446" i="1" s="1"/>
  <c r="J481" i="1"/>
  <c r="M481" i="1" s="1"/>
  <c r="J482" i="1"/>
  <c r="M482" i="1" s="1"/>
  <c r="J1010" i="1"/>
  <c r="M1010" i="1" s="1"/>
  <c r="J1011" i="1"/>
  <c r="M1011" i="1" s="1"/>
  <c r="J1006" i="1"/>
  <c r="M1006" i="1" s="1"/>
  <c r="J1003" i="1"/>
  <c r="M1003" i="1" s="1"/>
  <c r="J1004" i="1"/>
  <c r="M1004" i="1" s="1"/>
  <c r="J1005" i="1"/>
  <c r="M1005" i="1" s="1"/>
  <c r="J998" i="1"/>
  <c r="M998" i="1" s="1"/>
  <c r="J1007" i="1"/>
  <c r="M1007" i="1" s="1"/>
  <c r="J1008" i="1"/>
  <c r="M1008" i="1" s="1"/>
  <c r="J1009" i="1"/>
  <c r="M1009" i="1" s="1"/>
  <c r="J1026" i="1"/>
  <c r="M1026" i="1" s="1"/>
  <c r="J1148" i="1"/>
  <c r="M1148" i="1" s="1"/>
  <c r="J1149" i="1"/>
  <c r="M1149" i="1" s="1"/>
  <c r="J1150" i="1"/>
  <c r="M1150" i="1" s="1"/>
  <c r="J1099" i="1"/>
  <c r="M1099" i="1" s="1"/>
  <c r="J1096" i="1"/>
  <c r="M1096" i="1" s="1"/>
  <c r="J1095" i="1"/>
  <c r="M1095" i="1" s="1"/>
  <c r="J1083" i="1"/>
  <c r="M1083" i="1" s="1"/>
  <c r="J1130" i="1"/>
  <c r="J1132" i="1"/>
  <c r="M1132" i="1" s="1"/>
  <c r="J1133" i="1"/>
  <c r="M1133" i="1" s="1"/>
  <c r="J1134" i="1"/>
  <c r="M1134" i="1" s="1"/>
  <c r="J1136" i="1"/>
  <c r="M1136" i="1" s="1"/>
  <c r="J1137" i="1"/>
  <c r="M1137" i="1" s="1"/>
  <c r="J1138" i="1"/>
  <c r="M1138" i="1" s="1"/>
  <c r="J1140" i="1"/>
  <c r="M1140" i="1" s="1"/>
  <c r="J1141" i="1"/>
  <c r="M1141" i="1" s="1"/>
  <c r="J1142" i="1"/>
  <c r="M1142" i="1" s="1"/>
  <c r="J1143" i="1"/>
  <c r="M1143" i="1" s="1"/>
  <c r="J1144" i="1"/>
  <c r="M1144" i="1" s="1"/>
  <c r="J1146" i="1"/>
  <c r="M1146" i="1" s="1"/>
  <c r="J1147" i="1"/>
  <c r="M1147" i="1" s="1"/>
  <c r="J1158" i="1"/>
  <c r="J1162" i="1"/>
  <c r="M1162" i="1" s="1"/>
  <c r="J1163" i="1"/>
  <c r="M1163" i="1" s="1"/>
  <c r="J1164" i="1"/>
  <c r="M1164" i="1" s="1"/>
  <c r="J1165" i="1"/>
  <c r="M1165" i="1" s="1"/>
  <c r="J1151" i="1"/>
  <c r="M1151" i="1" s="1"/>
  <c r="J1109" i="1"/>
  <c r="M1109" i="1" s="1"/>
  <c r="J1030" i="1"/>
  <c r="M1030" i="1" s="1"/>
  <c r="J1029" i="1"/>
  <c r="M1029" i="1" s="1"/>
  <c r="J1028" i="1"/>
  <c r="M1028" i="1" s="1"/>
  <c r="J1027" i="1"/>
  <c r="M1027" i="1" s="1"/>
  <c r="J1025" i="1"/>
  <c r="M1025" i="1" s="1"/>
  <c r="J1024" i="1"/>
  <c r="M1024" i="1" s="1"/>
  <c r="J1023" i="1"/>
  <c r="M1023" i="1" s="1"/>
  <c r="J1021" i="1"/>
  <c r="M1021" i="1" s="1"/>
  <c r="J1020" i="1"/>
  <c r="M1020" i="1" s="1"/>
  <c r="J1019" i="1"/>
  <c r="M1019" i="1" s="1"/>
  <c r="J997" i="1"/>
  <c r="M997" i="1" s="1"/>
  <c r="J996" i="1"/>
  <c r="M996" i="1" s="1"/>
  <c r="J1001" i="1"/>
  <c r="M1001" i="1" s="1"/>
  <c r="J999" i="1"/>
  <c r="M999" i="1" s="1"/>
  <c r="J1000" i="1"/>
  <c r="M1000" i="1" s="1"/>
  <c r="J992" i="1"/>
  <c r="J1002" i="1"/>
  <c r="M1002" i="1" s="1"/>
  <c r="J981" i="1"/>
  <c r="M981" i="1" s="1"/>
  <c r="J980" i="1"/>
  <c r="M980" i="1" s="1"/>
  <c r="J979" i="1"/>
  <c r="M979" i="1" s="1"/>
  <c r="J978" i="1"/>
  <c r="M978" i="1" s="1"/>
  <c r="J976" i="1"/>
  <c r="M976" i="1" s="1"/>
  <c r="J975" i="1"/>
  <c r="M975" i="1" s="1"/>
  <c r="J974" i="1"/>
  <c r="M974" i="1" s="1"/>
  <c r="J973" i="1"/>
  <c r="M973" i="1" s="1"/>
  <c r="J972" i="1"/>
  <c r="M972" i="1" s="1"/>
  <c r="J971" i="1"/>
  <c r="M971" i="1" s="1"/>
  <c r="J970" i="1"/>
  <c r="J954" i="1"/>
  <c r="M954" i="1" s="1"/>
  <c r="J955" i="1"/>
  <c r="M955" i="1" s="1"/>
  <c r="J136" i="1"/>
  <c r="M136" i="1" s="1"/>
  <c r="J837" i="1"/>
  <c r="M837" i="1" s="1"/>
  <c r="J835" i="1"/>
  <c r="M835" i="1" s="1"/>
  <c r="J946" i="1"/>
  <c r="M946" i="1" s="1"/>
  <c r="J947" i="1"/>
  <c r="M947" i="1" s="1"/>
  <c r="J948" i="1"/>
  <c r="M948" i="1" s="1"/>
  <c r="J949" i="1"/>
  <c r="M949" i="1" s="1"/>
  <c r="J938" i="1"/>
  <c r="M938" i="1" s="1"/>
  <c r="J939" i="1"/>
  <c r="M939" i="1" s="1"/>
  <c r="J941" i="1"/>
  <c r="M941" i="1" s="1"/>
  <c r="J942" i="1"/>
  <c r="M942" i="1" s="1"/>
  <c r="J936" i="1"/>
  <c r="M936" i="1" s="1"/>
  <c r="J943" i="1"/>
  <c r="M943" i="1" s="1"/>
  <c r="J432" i="1"/>
  <c r="M432" i="1" s="1"/>
  <c r="J433" i="1"/>
  <c r="M433" i="1" s="1"/>
  <c r="J434" i="1"/>
  <c r="M434" i="1" s="1"/>
  <c r="J394" i="1"/>
  <c r="M394" i="1" s="1"/>
  <c r="J243" i="1"/>
  <c r="M243" i="1" s="1"/>
  <c r="J244" i="1"/>
  <c r="M244" i="1" s="1"/>
  <c r="J542" i="1"/>
  <c r="J738" i="1"/>
  <c r="M738" i="1" s="1"/>
  <c r="J368" i="1"/>
  <c r="M368" i="1" s="1"/>
  <c r="J1031" i="1"/>
  <c r="M1031" i="1" s="1"/>
  <c r="J719" i="1"/>
  <c r="M719" i="1" s="1"/>
  <c r="J717" i="1"/>
  <c r="J186" i="1"/>
  <c r="M186" i="1" s="1"/>
  <c r="J1037" i="1"/>
  <c r="M1037" i="1" s="1"/>
  <c r="J1036" i="1"/>
  <c r="M1036" i="1" s="1"/>
  <c r="J1033" i="1"/>
  <c r="M1033" i="1" s="1"/>
  <c r="J1032" i="1"/>
  <c r="M1032" i="1" s="1"/>
  <c r="J1018" i="1"/>
  <c r="J898" i="1"/>
  <c r="M898" i="1" s="1"/>
  <c r="J895" i="1"/>
  <c r="J789" i="1"/>
  <c r="M789" i="1" s="1"/>
  <c r="J788" i="1"/>
  <c r="M788" i="1" s="1"/>
  <c r="J787" i="1"/>
  <c r="M787" i="1" s="1"/>
  <c r="J786" i="1"/>
  <c r="M786" i="1" s="1"/>
  <c r="J785" i="1"/>
  <c r="M785" i="1" s="1"/>
  <c r="J784" i="1"/>
  <c r="M784" i="1" s="1"/>
  <c r="J783" i="1"/>
  <c r="J782" i="1"/>
  <c r="M782" i="1" s="1"/>
  <c r="J737" i="1"/>
  <c r="M737" i="1" s="1"/>
  <c r="J727" i="1"/>
  <c r="M727" i="1" s="1"/>
  <c r="J725" i="1"/>
  <c r="M725" i="1" s="1"/>
  <c r="J724" i="1"/>
  <c r="M724" i="1" s="1"/>
  <c r="J720" i="1"/>
  <c r="M720" i="1" s="1"/>
  <c r="J708" i="1"/>
  <c r="J698" i="1"/>
  <c r="M698" i="1" s="1"/>
  <c r="J697" i="1"/>
  <c r="M697" i="1" s="1"/>
  <c r="J694" i="1"/>
  <c r="M694" i="1" s="1"/>
  <c r="J695" i="1"/>
  <c r="M695" i="1" s="1"/>
  <c r="J691" i="1"/>
  <c r="J690" i="1"/>
  <c r="M690" i="1" s="1"/>
  <c r="J689" i="1"/>
  <c r="J644" i="1"/>
  <c r="M644" i="1" s="1"/>
  <c r="J643" i="1"/>
  <c r="M643" i="1" s="1"/>
  <c r="J638" i="1"/>
  <c r="M638" i="1" s="1"/>
  <c r="J637" i="1"/>
  <c r="J599" i="1"/>
  <c r="M599" i="1" s="1"/>
  <c r="J598" i="1"/>
  <c r="M598" i="1" s="1"/>
  <c r="J597" i="1"/>
  <c r="J534" i="1"/>
  <c r="M534" i="1" s="1"/>
  <c r="J533" i="1"/>
  <c r="M533" i="1" s="1"/>
  <c r="J532" i="1"/>
  <c r="M532" i="1" s="1"/>
  <c r="J531" i="1"/>
  <c r="M531" i="1" s="1"/>
  <c r="J530" i="1"/>
  <c r="M530" i="1" s="1"/>
  <c r="J529" i="1"/>
  <c r="M529" i="1" s="1"/>
  <c r="J528" i="1"/>
  <c r="M528" i="1" s="1"/>
  <c r="J526" i="1"/>
  <c r="M526" i="1" s="1"/>
  <c r="J524" i="1"/>
  <c r="M524" i="1" s="1"/>
  <c r="J522" i="1"/>
  <c r="M522" i="1" s="1"/>
  <c r="J521" i="1"/>
  <c r="J261" i="1"/>
  <c r="M261" i="1" s="1"/>
  <c r="J259" i="1"/>
  <c r="M259" i="1" s="1"/>
  <c r="J170" i="1"/>
  <c r="M170" i="1" s="1"/>
  <c r="J153" i="1"/>
  <c r="M153" i="1" s="1"/>
  <c r="J31" i="1"/>
  <c r="M31" i="1" s="1"/>
  <c r="J811" i="1"/>
  <c r="M811" i="1" s="1"/>
  <c r="J1073" i="1"/>
  <c r="M1073" i="1" s="1"/>
  <c r="J1120" i="1"/>
  <c r="M1120" i="1" s="1"/>
  <c r="J123" i="1"/>
  <c r="M123" i="1" s="1"/>
  <c r="J34" i="1"/>
  <c r="M34" i="1" s="1"/>
  <c r="J135" i="1"/>
  <c r="M135" i="1" s="1"/>
  <c r="J29" i="1"/>
  <c r="M29" i="1" s="1"/>
  <c r="J30" i="1"/>
  <c r="M30" i="1" s="1"/>
  <c r="J26" i="1"/>
  <c r="J27" i="1"/>
  <c r="M27" i="1" s="1"/>
  <c r="J28" i="1"/>
  <c r="J1060" i="1"/>
  <c r="M1060" i="1" s="1"/>
  <c r="J593" i="1"/>
  <c r="M593" i="1" s="1"/>
  <c r="J554" i="1"/>
  <c r="M554" i="1" s="1"/>
  <c r="J435" i="1"/>
  <c r="M435" i="1" s="1"/>
  <c r="J596" i="1"/>
  <c r="M596" i="1" s="1"/>
  <c r="J800" i="1"/>
  <c r="M800" i="1" s="1"/>
  <c r="J617" i="1"/>
  <c r="M617" i="1" s="1"/>
  <c r="J100" i="1"/>
  <c r="M100" i="1" s="1"/>
  <c r="J1202" i="1"/>
  <c r="M1202" i="1" s="1"/>
  <c r="J1203" i="1"/>
  <c r="M1203" i="1" s="1"/>
  <c r="J1056" i="1"/>
  <c r="M1056" i="1" s="1"/>
  <c r="J1057" i="1"/>
  <c r="M1057" i="1" s="1"/>
  <c r="J1058" i="1"/>
  <c r="M1058" i="1" s="1"/>
  <c r="J1068" i="1"/>
  <c r="M1068" i="1" s="1"/>
  <c r="J1071" i="1"/>
  <c r="M1071" i="1" s="1"/>
  <c r="J1072" i="1"/>
  <c r="M1072" i="1" s="1"/>
  <c r="J1117" i="1"/>
  <c r="M1117" i="1" s="1"/>
  <c r="J1118" i="1"/>
  <c r="M1118" i="1" s="1"/>
  <c r="J1119" i="1"/>
  <c r="M1119" i="1" s="1"/>
  <c r="J1121" i="1"/>
  <c r="M1121" i="1" s="1"/>
  <c r="J203" i="1"/>
  <c r="M203" i="1" s="1"/>
  <c r="J821" i="1"/>
  <c r="M821" i="1" s="1"/>
  <c r="J822" i="1"/>
  <c r="M822" i="1" s="1"/>
  <c r="J823" i="1"/>
  <c r="M823" i="1" s="1"/>
  <c r="J824" i="1"/>
  <c r="M824" i="1" s="1"/>
  <c r="J826" i="1"/>
  <c r="M826" i="1" s="1"/>
  <c r="J503" i="1"/>
  <c r="M503" i="1" s="1"/>
  <c r="J145" i="1"/>
  <c r="J937" i="1"/>
  <c r="M937" i="1" s="1"/>
  <c r="J934" i="1"/>
  <c r="J925" i="1"/>
  <c r="M925" i="1" s="1"/>
  <c r="J916" i="1"/>
  <c r="M916" i="1" s="1"/>
  <c r="J756" i="1"/>
  <c r="M756" i="1" s="1"/>
  <c r="J757" i="1"/>
  <c r="M757" i="1" s="1"/>
  <c r="J758" i="1"/>
  <c r="J759" i="1"/>
  <c r="M759" i="1" s="1"/>
  <c r="J760" i="1"/>
  <c r="J762" i="1"/>
  <c r="M762" i="1" s="1"/>
  <c r="J765" i="1"/>
  <c r="M765" i="1" s="1"/>
  <c r="J767" i="1"/>
  <c r="M767" i="1" s="1"/>
  <c r="J770" i="1"/>
  <c r="M770" i="1" s="1"/>
  <c r="J774" i="1"/>
  <c r="M774" i="1" s="1"/>
  <c r="J775" i="1"/>
  <c r="M775" i="1" s="1"/>
  <c r="J755" i="1"/>
  <c r="M755" i="1" s="1"/>
  <c r="J739" i="1"/>
  <c r="M739" i="1" s="1"/>
  <c r="J741" i="1"/>
  <c r="M741" i="1" s="1"/>
  <c r="J743" i="1"/>
  <c r="M743" i="1" s="1"/>
  <c r="J745" i="1"/>
  <c r="M745" i="1" s="1"/>
  <c r="J747" i="1"/>
  <c r="M747" i="1" s="1"/>
  <c r="J668" i="1"/>
  <c r="M668" i="1" s="1"/>
  <c r="J671" i="1"/>
  <c r="M671" i="1" s="1"/>
  <c r="J667" i="1"/>
  <c r="J649" i="1"/>
  <c r="J629" i="1"/>
  <c r="M629" i="1" s="1"/>
  <c r="J615" i="1"/>
  <c r="M615" i="1" s="1"/>
  <c r="J616" i="1"/>
  <c r="M616" i="1" s="1"/>
  <c r="J618" i="1"/>
  <c r="M618" i="1" s="1"/>
  <c r="J514" i="1"/>
  <c r="M514" i="1" s="1"/>
  <c r="J515" i="1"/>
  <c r="M515" i="1" s="1"/>
  <c r="J516" i="1"/>
  <c r="M516" i="1" s="1"/>
  <c r="J561" i="1"/>
  <c r="J563" i="1"/>
  <c r="M563" i="1" s="1"/>
  <c r="J572" i="1"/>
  <c r="J499" i="1"/>
  <c r="M499" i="1" s="1"/>
  <c r="J500" i="1"/>
  <c r="M500" i="1" s="1"/>
  <c r="J501" i="1"/>
  <c r="M501" i="1" s="1"/>
  <c r="J502" i="1"/>
  <c r="M502" i="1" s="1"/>
  <c r="J504" i="1"/>
  <c r="M504" i="1" s="1"/>
  <c r="J488" i="1"/>
  <c r="M488" i="1" s="1"/>
  <c r="J489" i="1"/>
  <c r="M489" i="1" s="1"/>
  <c r="J490" i="1"/>
  <c r="M490" i="1" s="1"/>
  <c r="J483" i="1"/>
  <c r="M483" i="1" s="1"/>
  <c r="J484" i="1"/>
  <c r="M484" i="1" s="1"/>
  <c r="J421" i="1"/>
  <c r="M421" i="1" s="1"/>
  <c r="J420" i="1"/>
  <c r="M420" i="1" s="1"/>
  <c r="J342" i="1"/>
  <c r="M342" i="1" s="1"/>
  <c r="J343" i="1"/>
  <c r="M343" i="1" s="1"/>
  <c r="J344" i="1"/>
  <c r="M344" i="1" s="1"/>
  <c r="J332" i="1"/>
  <c r="J276" i="1"/>
  <c r="J277" i="1"/>
  <c r="M277" i="1" s="1"/>
  <c r="J278" i="1"/>
  <c r="M278" i="1" s="1"/>
  <c r="J279" i="1"/>
  <c r="M279" i="1" s="1"/>
  <c r="J280" i="1"/>
  <c r="M280" i="1" s="1"/>
  <c r="J254" i="1"/>
  <c r="J255" i="1"/>
  <c r="M255" i="1" s="1"/>
  <c r="J256" i="1"/>
  <c r="M256" i="1" s="1"/>
  <c r="J257" i="1"/>
  <c r="M257" i="1" s="1"/>
  <c r="J258" i="1"/>
  <c r="M258" i="1" s="1"/>
  <c r="J188" i="1"/>
  <c r="M188" i="1" s="1"/>
  <c r="J181" i="1"/>
  <c r="J182" i="1"/>
  <c r="M182" i="1" s="1"/>
  <c r="J194" i="1"/>
  <c r="M194" i="1" s="1"/>
  <c r="J168" i="1"/>
  <c r="J171" i="1"/>
  <c r="M171" i="1" s="1"/>
  <c r="J148" i="1"/>
  <c r="M148" i="1" s="1"/>
  <c r="J146" i="1"/>
  <c r="M146" i="1" s="1"/>
  <c r="J149" i="1"/>
  <c r="M149" i="1" s="1"/>
  <c r="J152" i="1"/>
  <c r="M152" i="1" s="1"/>
  <c r="J150" i="1"/>
  <c r="M150" i="1" s="1"/>
  <c r="J151" i="1"/>
  <c r="M151" i="1" s="1"/>
  <c r="J160" i="1"/>
  <c r="M160" i="1" s="1"/>
  <c r="J154" i="1"/>
  <c r="M154" i="1" s="1"/>
  <c r="J158" i="1"/>
  <c r="M158" i="1" s="1"/>
  <c r="J98" i="1"/>
  <c r="J122" i="1"/>
  <c r="M122" i="1" s="1"/>
  <c r="J127" i="1"/>
  <c r="M127" i="1" s="1"/>
  <c r="J128" i="1"/>
  <c r="M128" i="1" s="1"/>
  <c r="J132" i="1"/>
  <c r="M132" i="1" s="1"/>
  <c r="J134" i="1"/>
  <c r="M134" i="1" s="1"/>
  <c r="J33" i="1"/>
  <c r="M33" i="1" s="1"/>
  <c r="J25" i="1"/>
  <c r="M25" i="1" s="1"/>
  <c r="J211" i="1"/>
  <c r="M211" i="1" s="1"/>
  <c r="J212" i="1"/>
  <c r="M212" i="1" s="1"/>
  <c r="J202" i="1"/>
  <c r="J799" i="1"/>
  <c r="M799" i="1" s="1"/>
  <c r="J545" i="1"/>
  <c r="M545" i="1" s="1"/>
  <c r="J236" i="1"/>
  <c r="J238" i="1"/>
  <c r="M238" i="1" s="1"/>
  <c r="J172" i="1"/>
  <c r="M172" i="1" s="1"/>
  <c r="J126" i="1"/>
  <c r="M126" i="1" s="1"/>
  <c r="J798" i="1"/>
  <c r="M798" i="1" s="1"/>
  <c r="J548" i="1"/>
  <c r="M548" i="1" s="1"/>
  <c r="J550" i="1"/>
  <c r="M550" i="1" s="1"/>
  <c r="J923" i="1"/>
  <c r="M923" i="1" s="1"/>
  <c r="A881" i="1" l="1"/>
  <c r="E78" i="9"/>
  <c r="M1257" i="1"/>
  <c r="E79" i="9"/>
  <c r="M1258" i="1"/>
  <c r="M1018" i="1"/>
  <c r="N1016" i="1" s="1"/>
  <c r="J1016" i="1"/>
  <c r="M1158" i="1"/>
  <c r="N1156" i="1" s="1"/>
  <c r="J1156" i="1"/>
  <c r="M970" i="1"/>
  <c r="N968" i="1" s="1"/>
  <c r="J968" i="1"/>
  <c r="M1130" i="1"/>
  <c r="N1128" i="1" s="1"/>
  <c r="J1128" i="1"/>
  <c r="M783" i="1"/>
  <c r="N780" i="1" s="1"/>
  <c r="J780" i="1"/>
  <c r="M758" i="1"/>
  <c r="M708" i="1"/>
  <c r="N704" i="1" s="1"/>
  <c r="J704" i="1"/>
  <c r="M934" i="1"/>
  <c r="N932" i="1" s="1"/>
  <c r="J932" i="1"/>
  <c r="M895" i="1"/>
  <c r="N893" i="1" s="1"/>
  <c r="J893" i="1"/>
  <c r="M717" i="1"/>
  <c r="N713" i="1" s="1"/>
  <c r="J713" i="1"/>
  <c r="M992" i="1"/>
  <c r="M691" i="1"/>
  <c r="J687" i="1"/>
  <c r="J635" i="1"/>
  <c r="M637" i="1"/>
  <c r="N635" i="1" s="1"/>
  <c r="M521" i="1"/>
  <c r="N519" i="1" s="1"/>
  <c r="J519" i="1"/>
  <c r="J273" i="1"/>
  <c r="M276" i="1"/>
  <c r="N273" i="1" s="1"/>
  <c r="J166" i="1"/>
  <c r="M168" i="1"/>
  <c r="N166" i="1" s="1"/>
  <c r="J570" i="1"/>
  <c r="M572" i="1"/>
  <c r="N570" i="1" s="1"/>
  <c r="J96" i="1"/>
  <c r="M98" i="1"/>
  <c r="N96" i="1" s="1"/>
  <c r="M689" i="1"/>
  <c r="M181" i="1"/>
  <c r="N178" i="1" s="1"/>
  <c r="J178" i="1"/>
  <c r="M332" i="1"/>
  <c r="N330" i="1" s="1"/>
  <c r="J330" i="1"/>
  <c r="M254" i="1"/>
  <c r="J559" i="1"/>
  <c r="M561" i="1"/>
  <c r="N559" i="1" s="1"/>
  <c r="M649" i="1"/>
  <c r="M760" i="1"/>
  <c r="M597" i="1"/>
  <c r="J234" i="1"/>
  <c r="M236" i="1"/>
  <c r="N234" i="1" s="1"/>
  <c r="J200" i="1"/>
  <c r="M202" i="1"/>
  <c r="N200" i="1" s="1"/>
  <c r="J665" i="1"/>
  <c r="M667" i="1"/>
  <c r="N665" i="1" s="1"/>
  <c r="M145" i="1"/>
  <c r="N142" i="1" s="1"/>
  <c r="J142" i="1"/>
  <c r="J540" i="1"/>
  <c r="M542" i="1"/>
  <c r="N540" i="1" s="1"/>
  <c r="M28" i="1"/>
  <c r="J23" i="1"/>
  <c r="M26" i="1"/>
  <c r="J418" i="1"/>
  <c r="N418" i="1"/>
  <c r="I260" i="1"/>
  <c r="J260" i="1" s="1"/>
  <c r="J249" i="1" s="1"/>
  <c r="J1070" i="1"/>
  <c r="M1070" i="1" s="1"/>
  <c r="J772" i="1"/>
  <c r="M772" i="1" s="1"/>
  <c r="J1082" i="1"/>
  <c r="J513" i="1"/>
  <c r="J834" i="1"/>
  <c r="M659" i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559" i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665" i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96" i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200" i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E38" i="9"/>
  <c r="N892" i="1"/>
  <c r="A1128" i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519" i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330" i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635" i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932" i="1"/>
  <c r="A933" i="1" s="1"/>
  <c r="A934" i="1" s="1"/>
  <c r="A935" i="1" s="1"/>
  <c r="A936" i="1" s="1"/>
  <c r="A937" i="1" s="1"/>
  <c r="A540" i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687" i="1"/>
  <c r="A688" i="1" s="1"/>
  <c r="A689" i="1" s="1"/>
  <c r="A690" i="1" s="1"/>
  <c r="A691" i="1" s="1"/>
  <c r="A692" i="1" s="1"/>
  <c r="A968" i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780" i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142" i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78" i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66" i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704" i="1"/>
  <c r="A705" i="1" s="1"/>
  <c r="A706" i="1" s="1"/>
  <c r="A707" i="1" s="1"/>
  <c r="A708" i="1" s="1"/>
  <c r="A709" i="1" s="1"/>
  <c r="A710" i="1" s="1"/>
  <c r="A711" i="1" s="1"/>
  <c r="A712" i="1" s="1"/>
  <c r="A570" i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249" i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N417" i="1"/>
  <c r="E45" i="9"/>
  <c r="A1156" i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016" i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234" i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418" i="1"/>
  <c r="A419" i="1" s="1"/>
  <c r="A420" i="1" s="1"/>
  <c r="A421" i="1" s="1"/>
  <c r="A422" i="1" s="1"/>
  <c r="A423" i="1" s="1"/>
  <c r="A424" i="1" s="1"/>
  <c r="A425" i="1" s="1"/>
  <c r="A426" i="1" s="1"/>
  <c r="A427" i="1" s="1"/>
  <c r="A273" i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713" i="1"/>
  <c r="A714" i="1" s="1"/>
  <c r="A715" i="1" s="1"/>
  <c r="J892" i="1"/>
  <c r="A893" i="1"/>
  <c r="A894" i="1" s="1"/>
  <c r="A895" i="1" s="1"/>
  <c r="A896" i="1" s="1"/>
  <c r="A897" i="1" s="1"/>
  <c r="A898" i="1" s="1"/>
  <c r="J931" i="1"/>
  <c r="M1082" i="1"/>
  <c r="M834" i="1"/>
  <c r="N832" i="1" s="1"/>
  <c r="J832" i="1"/>
  <c r="N687" i="1"/>
  <c r="N23" i="1"/>
  <c r="J511" i="1"/>
  <c r="M513" i="1"/>
  <c r="N511" i="1" s="1"/>
  <c r="J417" i="1"/>
  <c r="M260" i="1"/>
  <c r="J647" i="1"/>
  <c r="N647" i="1"/>
  <c r="N931" i="1"/>
  <c r="E26" i="9"/>
  <c r="E22" i="9"/>
  <c r="E17" i="9"/>
  <c r="E16" i="9"/>
  <c r="E36" i="9"/>
  <c r="E15" i="9"/>
  <c r="E14" i="9"/>
  <c r="E46" i="9"/>
  <c r="E19" i="9"/>
  <c r="E43" i="9"/>
  <c r="E35" i="9"/>
  <c r="E55" i="9"/>
  <c r="E37" i="9"/>
  <c r="G1122" i="1"/>
  <c r="J1122" i="1" s="1"/>
  <c r="M1122" i="1" s="1"/>
  <c r="G1069" i="1"/>
  <c r="J1069" i="1" s="1"/>
  <c r="G740" i="1"/>
  <c r="J740" i="1" s="1"/>
  <c r="M740" i="1" s="1"/>
  <c r="J626" i="1"/>
  <c r="J736" i="1"/>
  <c r="J392" i="1"/>
  <c r="J595" i="1"/>
  <c r="M595" i="1" s="1"/>
  <c r="J1048" i="1"/>
  <c r="M1048" i="1" s="1"/>
  <c r="A938" i="1" l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190" i="1"/>
  <c r="A191" i="1" s="1"/>
  <c r="A192" i="1" s="1"/>
  <c r="A193" i="1" s="1"/>
  <c r="A194" i="1" s="1"/>
  <c r="A195" i="1" s="1"/>
  <c r="A196" i="1" s="1"/>
  <c r="A197" i="1" s="1"/>
  <c r="A198" i="1" s="1"/>
  <c r="A199" i="1" s="1"/>
  <c r="A159" i="1"/>
  <c r="A160" i="1" s="1"/>
  <c r="A161" i="1" s="1"/>
  <c r="A162" i="1" s="1"/>
  <c r="A163" i="1" s="1"/>
  <c r="A164" i="1" s="1"/>
  <c r="A165" i="1" s="1"/>
  <c r="A717" i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16" i="1"/>
  <c r="A694" i="1"/>
  <c r="A695" i="1" s="1"/>
  <c r="A696" i="1" s="1"/>
  <c r="A697" i="1" s="1"/>
  <c r="A698" i="1" s="1"/>
  <c r="A699" i="1" s="1"/>
  <c r="A700" i="1" s="1"/>
  <c r="A701" i="1" s="1"/>
  <c r="A702" i="1" s="1"/>
  <c r="A703" i="1" s="1"/>
  <c r="A693" i="1"/>
  <c r="A985" i="1"/>
  <c r="A986" i="1" s="1"/>
  <c r="A987" i="1" s="1"/>
  <c r="A988" i="1" s="1"/>
  <c r="A265" i="1"/>
  <c r="A557" i="1"/>
  <c r="A558" i="1" s="1"/>
  <c r="E31" i="9"/>
  <c r="E42" i="9"/>
  <c r="A647" i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E44" i="9"/>
  <c r="A417" i="1"/>
  <c r="A931" i="1"/>
  <c r="E34" i="9"/>
  <c r="E53" i="9"/>
  <c r="N831" i="1"/>
  <c r="A511" i="1"/>
  <c r="A512" i="1" s="1"/>
  <c r="A513" i="1" s="1"/>
  <c r="A514" i="1" s="1"/>
  <c r="A515" i="1" s="1"/>
  <c r="A516" i="1" s="1"/>
  <c r="A517" i="1" s="1"/>
  <c r="A518" i="1" s="1"/>
  <c r="E11" i="9"/>
  <c r="A892" i="1"/>
  <c r="A899" i="1"/>
  <c r="A900" i="1" s="1"/>
  <c r="A901" i="1" s="1"/>
  <c r="A902" i="1" s="1"/>
  <c r="J831" i="1"/>
  <c r="A832" i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M1069" i="1"/>
  <c r="N1066" i="1" s="1"/>
  <c r="J1066" i="1"/>
  <c r="N510" i="1"/>
  <c r="M736" i="1"/>
  <c r="J390" i="1"/>
  <c r="M392" i="1"/>
  <c r="N390" i="1" s="1"/>
  <c r="N249" i="1"/>
  <c r="J510" i="1"/>
  <c r="J624" i="1"/>
  <c r="M626" i="1"/>
  <c r="N624" i="1" s="1"/>
  <c r="E49" i="9"/>
  <c r="J370" i="1"/>
  <c r="M370" i="1" s="1"/>
  <c r="J609" i="1"/>
  <c r="J584" i="1"/>
  <c r="A732" i="1" l="1"/>
  <c r="A733" i="1" s="1"/>
  <c r="A390" i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E41" i="9"/>
  <c r="A624" i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1066" i="1"/>
  <c r="A1067" i="1" s="1"/>
  <c r="A1068" i="1" s="1"/>
  <c r="A1069" i="1" s="1"/>
  <c r="A1070" i="1" s="1"/>
  <c r="A1071" i="1" s="1"/>
  <c r="A1072" i="1" s="1"/>
  <c r="A1073" i="1" s="1"/>
  <c r="A1074" i="1" s="1"/>
  <c r="E59" i="9"/>
  <c r="A510" i="1"/>
  <c r="E29" i="9"/>
  <c r="A831" i="1"/>
  <c r="E18" i="9"/>
  <c r="N623" i="1"/>
  <c r="J582" i="1"/>
  <c r="M584" i="1"/>
  <c r="N582" i="1" s="1"/>
  <c r="M609" i="1"/>
  <c r="J623" i="1"/>
  <c r="A1076" i="1" l="1"/>
  <c r="A1077" i="1" s="1"/>
  <c r="A1078" i="1" s="1"/>
  <c r="A1079" i="1" s="1"/>
  <c r="A1075" i="1"/>
  <c r="A623" i="1"/>
  <c r="A582" i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F24" i="9"/>
  <c r="E39" i="9"/>
  <c r="N9" i="1"/>
  <c r="Q11" i="1" l="1"/>
  <c r="T10" i="1"/>
  <c r="U10" i="1" s="1"/>
  <c r="Q10" i="1"/>
  <c r="S11" i="1"/>
  <c r="U11" i="1" s="1"/>
  <c r="I9" i="1"/>
  <c r="G6" i="1" l="1"/>
  <c r="G406" i="1" s="1"/>
  <c r="G805" i="1" l="1"/>
  <c r="J805" i="1" s="1"/>
  <c r="G75" i="1"/>
  <c r="J75" i="1" s="1"/>
  <c r="M75" i="1" s="1"/>
  <c r="G67" i="1"/>
  <c r="O266" i="1"/>
  <c r="K285" i="1"/>
  <c r="K301" i="1"/>
  <c r="O285" i="1"/>
  <c r="K266" i="1"/>
  <c r="O301" i="1"/>
  <c r="O903" i="1"/>
  <c r="K903" i="1"/>
  <c r="K872" i="1"/>
  <c r="O872" i="1"/>
  <c r="K1170" i="1"/>
  <c r="K1180" i="1"/>
  <c r="O1180" i="1"/>
  <c r="O1170" i="1"/>
  <c r="O871" i="1"/>
  <c r="K854" i="1"/>
  <c r="K871" i="1"/>
  <c r="O854" i="1"/>
  <c r="O14" i="1"/>
  <c r="O10" i="1"/>
  <c r="K39" i="1"/>
  <c r="O39" i="1"/>
  <c r="O17" i="1"/>
  <c r="O1232" i="1"/>
  <c r="O311" i="1"/>
  <c r="K311" i="1"/>
  <c r="K882" i="1"/>
  <c r="O882" i="1"/>
  <c r="O881" i="1"/>
  <c r="K881" i="1"/>
  <c r="O519" i="1"/>
  <c r="O330" i="1"/>
  <c r="O1156" i="1"/>
  <c r="K559" i="1"/>
  <c r="O570" i="1"/>
  <c r="K330" i="1"/>
  <c r="K687" i="1"/>
  <c r="K178" i="1"/>
  <c r="K249" i="1"/>
  <c r="K1016" i="1"/>
  <c r="K713" i="1"/>
  <c r="K893" i="1"/>
  <c r="O166" i="1"/>
  <c r="O540" i="1"/>
  <c r="O780" i="1"/>
  <c r="O932" i="1"/>
  <c r="O559" i="1"/>
  <c r="K665" i="1"/>
  <c r="O893" i="1"/>
  <c r="K635" i="1"/>
  <c r="K968" i="1"/>
  <c r="K166" i="1"/>
  <c r="O418" i="1"/>
  <c r="K234" i="1"/>
  <c r="O1016" i="1"/>
  <c r="O968" i="1"/>
  <c r="O96" i="1"/>
  <c r="O200" i="1"/>
  <c r="O142" i="1"/>
  <c r="O713" i="1"/>
  <c r="K96" i="1"/>
  <c r="K1128" i="1"/>
  <c r="K932" i="1"/>
  <c r="K780" i="1"/>
  <c r="K704" i="1"/>
  <c r="O704" i="1"/>
  <c r="K418" i="1"/>
  <c r="O635" i="1"/>
  <c r="O178" i="1"/>
  <c r="O1128" i="1"/>
  <c r="O273" i="1"/>
  <c r="K23" i="1"/>
  <c r="K200" i="1"/>
  <c r="K519" i="1"/>
  <c r="K540" i="1"/>
  <c r="K142" i="1"/>
  <c r="K570" i="1"/>
  <c r="K1156" i="1"/>
  <c r="K273" i="1"/>
  <c r="O234" i="1"/>
  <c r="O665" i="1"/>
  <c r="O931" i="1"/>
  <c r="O832" i="1"/>
  <c r="K511" i="1"/>
  <c r="O647" i="1"/>
  <c r="O417" i="1"/>
  <c r="K647" i="1"/>
  <c r="K931" i="1"/>
  <c r="O892" i="1"/>
  <c r="O23" i="1"/>
  <c r="K832" i="1"/>
  <c r="O687" i="1"/>
  <c r="O511" i="1"/>
  <c r="K892" i="1"/>
  <c r="K417" i="1"/>
  <c r="O831" i="1"/>
  <c r="O510" i="1"/>
  <c r="K1066" i="1"/>
  <c r="O390" i="1"/>
  <c r="K390" i="1"/>
  <c r="K831" i="1"/>
  <c r="K624" i="1"/>
  <c r="O249" i="1"/>
  <c r="O1066" i="1"/>
  <c r="O624" i="1"/>
  <c r="K510" i="1"/>
  <c r="O582" i="1"/>
  <c r="O623" i="1"/>
  <c r="K582" i="1"/>
  <c r="K623" i="1"/>
  <c r="O9" i="1"/>
  <c r="G763" i="1"/>
  <c r="J763" i="1" s="1"/>
  <c r="J753" i="1" s="1"/>
  <c r="K753" i="1" s="1"/>
  <c r="G808" i="1"/>
  <c r="J808" i="1" s="1"/>
  <c r="M808" i="1" s="1"/>
  <c r="G480" i="1"/>
  <c r="J480" i="1" s="1"/>
  <c r="J612" i="1"/>
  <c r="M612" i="1" s="1"/>
  <c r="G431" i="1"/>
  <c r="J431" i="1" s="1"/>
  <c r="I1255" i="1"/>
  <c r="J1255" i="1" s="1"/>
  <c r="M1255" i="1" s="1"/>
  <c r="J1112" i="1"/>
  <c r="M1112" i="1" s="1"/>
  <c r="J613" i="1"/>
  <c r="G1226" i="1"/>
  <c r="G1049" i="1"/>
  <c r="J1049" i="1" s="1"/>
  <c r="I5" i="1"/>
  <c r="G5" i="9" s="1"/>
  <c r="G364" i="1"/>
  <c r="G994" i="1"/>
  <c r="J367" i="1"/>
  <c r="M367" i="1" s="1"/>
  <c r="G1194" i="1"/>
  <c r="J1194" i="1" s="1"/>
  <c r="I7" i="1"/>
  <c r="G7" i="9" s="1"/>
  <c r="F1045" i="1"/>
  <c r="J1045" i="1" s="1"/>
  <c r="M1045" i="1" s="1"/>
  <c r="J913" i="1"/>
  <c r="J485" i="1"/>
  <c r="G1222" i="1"/>
  <c r="J1222" i="1" s="1"/>
  <c r="M1222" i="1" s="1"/>
  <c r="I6" i="1"/>
  <c r="G6" i="9" s="1"/>
  <c r="G497" i="1"/>
  <c r="J497" i="1" s="1"/>
  <c r="G1223" i="1"/>
  <c r="J1223" i="1" s="1"/>
  <c r="M1223" i="1" s="1"/>
  <c r="G412" i="1"/>
  <c r="J412" i="1" s="1"/>
  <c r="M412" i="1" s="1"/>
  <c r="E6" i="9"/>
  <c r="F18" i="9" s="1"/>
  <c r="J67" i="1" l="1"/>
  <c r="G90" i="1"/>
  <c r="J90" i="1" s="1"/>
  <c r="M90" i="1" s="1"/>
  <c r="A753" i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S1253" i="1"/>
  <c r="N1254" i="1"/>
  <c r="M1049" i="1"/>
  <c r="N1043" i="1" s="1"/>
  <c r="O1043" i="1" s="1"/>
  <c r="J1043" i="1"/>
  <c r="K1043" i="1" s="1"/>
  <c r="M805" i="1"/>
  <c r="N796" i="1" s="1"/>
  <c r="O796" i="1" s="1"/>
  <c r="J796" i="1"/>
  <c r="M913" i="1"/>
  <c r="N911" i="1" s="1"/>
  <c r="J911" i="1"/>
  <c r="M1194" i="1"/>
  <c r="N1192" i="1" s="1"/>
  <c r="O1192" i="1" s="1"/>
  <c r="J1192" i="1"/>
  <c r="M613" i="1"/>
  <c r="N607" i="1" s="1"/>
  <c r="O607" i="1" s="1"/>
  <c r="J607" i="1"/>
  <c r="M763" i="1"/>
  <c r="N753" i="1" s="1"/>
  <c r="O753" i="1" s="1"/>
  <c r="J478" i="1"/>
  <c r="K478" i="1" s="1"/>
  <c r="M485" i="1"/>
  <c r="J495" i="1"/>
  <c r="K495" i="1" s="1"/>
  <c r="M497" i="1"/>
  <c r="N495" i="1" s="1"/>
  <c r="O495" i="1" s="1"/>
  <c r="M480" i="1"/>
  <c r="J429" i="1"/>
  <c r="K429" i="1" s="1"/>
  <c r="M431" i="1"/>
  <c r="N429" i="1" s="1"/>
  <c r="O429" i="1" s="1"/>
  <c r="G1123" i="1"/>
  <c r="J1123" i="1" s="1"/>
  <c r="M1123" i="1" s="1"/>
  <c r="E76" i="9"/>
  <c r="E88" i="9" s="1"/>
  <c r="F20" i="9"/>
  <c r="F21" i="9"/>
  <c r="F78" i="9"/>
  <c r="F83" i="9"/>
  <c r="F38" i="9"/>
  <c r="F45" i="9"/>
  <c r="F46" i="9"/>
  <c r="F13" i="9"/>
  <c r="F29" i="9"/>
  <c r="F59" i="9"/>
  <c r="F60" i="9"/>
  <c r="F80" i="9"/>
  <c r="F17" i="9"/>
  <c r="F41" i="9"/>
  <c r="F87" i="9"/>
  <c r="F22" i="9"/>
  <c r="F85" i="9"/>
  <c r="F11" i="9"/>
  <c r="F36" i="9"/>
  <c r="F14" i="9"/>
  <c r="F34" i="9"/>
  <c r="F61" i="9"/>
  <c r="F71" i="9"/>
  <c r="F19" i="9"/>
  <c r="F50" i="9"/>
  <c r="F52" i="9"/>
  <c r="F26" i="9"/>
  <c r="F44" i="9"/>
  <c r="F84" i="9"/>
  <c r="F49" i="9"/>
  <c r="F81" i="9"/>
  <c r="F16" i="9"/>
  <c r="F39" i="9"/>
  <c r="F77" i="9"/>
  <c r="F42" i="9"/>
  <c r="F51" i="9"/>
  <c r="F79" i="9"/>
  <c r="F37" i="9"/>
  <c r="F55" i="9"/>
  <c r="F86" i="9"/>
  <c r="F43" i="9"/>
  <c r="F31" i="9"/>
  <c r="F82" i="9"/>
  <c r="F53" i="9"/>
  <c r="F15" i="9"/>
  <c r="F35" i="9"/>
  <c r="G462" i="1"/>
  <c r="J406" i="1"/>
  <c r="G1114" i="1"/>
  <c r="J1114" i="1" s="1"/>
  <c r="M1114" i="1" s="1"/>
  <c r="J1110" i="1"/>
  <c r="J993" i="1"/>
  <c r="G1100" i="1"/>
  <c r="J1100" i="1" s="1"/>
  <c r="I1225" i="1"/>
  <c r="J1225" i="1" s="1"/>
  <c r="M1225" i="1" s="1"/>
  <c r="N1220" i="1" s="1"/>
  <c r="O1220" i="1" s="1"/>
  <c r="J364" i="1"/>
  <c r="M67" i="1" l="1"/>
  <c r="J55" i="1"/>
  <c r="O1254" i="1"/>
  <c r="S10" i="8"/>
  <c r="A796" i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8" i="1" s="1"/>
  <c r="K796" i="1"/>
  <c r="A607" i="1"/>
  <c r="A608" i="1" s="1"/>
  <c r="A609" i="1" s="1"/>
  <c r="A610" i="1" s="1"/>
  <c r="A611" i="1" s="1"/>
  <c r="A613" i="1" s="1"/>
  <c r="K607" i="1"/>
  <c r="N910" i="1"/>
  <c r="O910" i="1" s="1"/>
  <c r="O911" i="1"/>
  <c r="A1192" i="1"/>
  <c r="A1193" i="1" s="1"/>
  <c r="A1194" i="1" s="1"/>
  <c r="A1195" i="1" s="1"/>
  <c r="A1196" i="1" s="1"/>
  <c r="A1197" i="1" s="1"/>
  <c r="A1198" i="1" s="1"/>
  <c r="A1199" i="1" s="1"/>
  <c r="K1192" i="1"/>
  <c r="A911" i="1"/>
  <c r="A912" i="1" s="1"/>
  <c r="A913" i="1" s="1"/>
  <c r="K911" i="1"/>
  <c r="F88" i="9"/>
  <c r="R5" i="1"/>
  <c r="S5" i="1" s="1"/>
  <c r="E40" i="9"/>
  <c r="F40" i="9" s="1"/>
  <c r="N539" i="1"/>
  <c r="O539" i="1" s="1"/>
  <c r="N478" i="1"/>
  <c r="O478" i="1" s="1"/>
  <c r="Q1253" i="1"/>
  <c r="E62" i="9"/>
  <c r="F62" i="9" s="1"/>
  <c r="A771" i="1"/>
  <c r="A772" i="1" s="1"/>
  <c r="A773" i="1" s="1"/>
  <c r="A774" i="1" s="1"/>
  <c r="A775" i="1" s="1"/>
  <c r="A429" i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1043" i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495" i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478" i="1"/>
  <c r="A479" i="1" s="1"/>
  <c r="N795" i="1"/>
  <c r="O795" i="1" s="1"/>
  <c r="T1255" i="1"/>
  <c r="S1254" i="1"/>
  <c r="T1253" i="1"/>
  <c r="E48" i="9"/>
  <c r="F48" i="9" s="1"/>
  <c r="E54" i="9"/>
  <c r="F54" i="9" s="1"/>
  <c r="J795" i="1"/>
  <c r="M1100" i="1"/>
  <c r="J910" i="1"/>
  <c r="M993" i="1"/>
  <c r="M1110" i="1"/>
  <c r="N1107" i="1" s="1"/>
  <c r="J1107" i="1"/>
  <c r="K1107" i="1" s="1"/>
  <c r="M364" i="1"/>
  <c r="J404" i="1"/>
  <c r="K404" i="1" s="1"/>
  <c r="M406" i="1"/>
  <c r="N404" i="1" s="1"/>
  <c r="J539" i="1"/>
  <c r="F76" i="9"/>
  <c r="M88" i="9"/>
  <c r="N1253" i="1"/>
  <c r="O1253" i="1" s="1"/>
  <c r="E70" i="9"/>
  <c r="F70" i="9" s="1"/>
  <c r="N1219" i="1"/>
  <c r="O1219" i="1" s="1"/>
  <c r="G744" i="1"/>
  <c r="J744" i="1" s="1"/>
  <c r="J734" i="1" s="1"/>
  <c r="K734" i="1" s="1"/>
  <c r="J462" i="1"/>
  <c r="J366" i="1"/>
  <c r="M366" i="1" s="1"/>
  <c r="J994" i="1"/>
  <c r="M994" i="1" s="1"/>
  <c r="G995" i="1"/>
  <c r="A778" i="1" l="1"/>
  <c r="A779" i="1" s="1"/>
  <c r="A776" i="1"/>
  <c r="A777" i="1" s="1"/>
  <c r="A615" i="1"/>
  <c r="A616" i="1" s="1"/>
  <c r="A617" i="1" s="1"/>
  <c r="A618" i="1" s="1"/>
  <c r="A619" i="1" s="1"/>
  <c r="A620" i="1" s="1"/>
  <c r="A621" i="1" s="1"/>
  <c r="A622" i="1" s="1"/>
  <c r="A1056" i="1"/>
  <c r="A1057" i="1" s="1"/>
  <c r="A1058" i="1" s="1"/>
  <c r="A1059" i="1" s="1"/>
  <c r="A1060" i="1" s="1"/>
  <c r="A1061" i="1" s="1"/>
  <c r="A1062" i="1" s="1"/>
  <c r="A1063" i="1" s="1"/>
  <c r="A1064" i="1" s="1"/>
  <c r="A1065" i="1" s="1"/>
  <c r="A1055" i="1"/>
  <c r="A915" i="1"/>
  <c r="A916" i="1" s="1"/>
  <c r="A917" i="1" s="1"/>
  <c r="A918" i="1" s="1"/>
  <c r="A919" i="1" s="1"/>
  <c r="A922" i="1" s="1"/>
  <c r="A923" i="1" s="1"/>
  <c r="A925" i="1" s="1"/>
  <c r="A926" i="1" s="1"/>
  <c r="A927" i="1" s="1"/>
  <c r="A928" i="1" s="1"/>
  <c r="A929" i="1" s="1"/>
  <c r="A930" i="1" s="1"/>
  <c r="A914" i="1"/>
  <c r="A55" i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J22" i="1"/>
  <c r="K55" i="1"/>
  <c r="N55" i="1"/>
  <c r="Q22" i="1" s="1"/>
  <c r="S23" i="1"/>
  <c r="S22" i="1"/>
  <c r="A807" i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612" i="1"/>
  <c r="A614" i="1" s="1"/>
  <c r="A539" i="1"/>
  <c r="K539" i="1"/>
  <c r="E58" i="9"/>
  <c r="F58" i="9" s="1"/>
  <c r="O1107" i="1"/>
  <c r="E30" i="9"/>
  <c r="F30" i="9" s="1"/>
  <c r="O404" i="1"/>
  <c r="A795" i="1"/>
  <c r="K795" i="1"/>
  <c r="A910" i="1"/>
  <c r="K910" i="1"/>
  <c r="E32" i="9"/>
  <c r="F32" i="9" s="1"/>
  <c r="A480" i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04" i="1"/>
  <c r="A405" i="1" s="1"/>
  <c r="A406" i="1" s="1"/>
  <c r="A407" i="1" s="1"/>
  <c r="A408" i="1" s="1"/>
  <c r="A409" i="1" s="1"/>
  <c r="A410" i="1" s="1"/>
  <c r="A411" i="1" s="1"/>
  <c r="A412" i="1" s="1"/>
  <c r="A1107" i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734" i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S9" i="8"/>
  <c r="S1255" i="1"/>
  <c r="U1255" i="1" s="1"/>
  <c r="T1254" i="1"/>
  <c r="U1254" i="1" s="1"/>
  <c r="M462" i="1"/>
  <c r="N455" i="1" s="1"/>
  <c r="O455" i="1" s="1"/>
  <c r="J455" i="1"/>
  <c r="Q1255" i="1"/>
  <c r="Q1254" i="1"/>
  <c r="J362" i="1"/>
  <c r="M744" i="1"/>
  <c r="N734" i="1" s="1"/>
  <c r="J686" i="1"/>
  <c r="N362" i="1"/>
  <c r="O362" i="1" s="1"/>
  <c r="U1253" i="1"/>
  <c r="N88" i="9"/>
  <c r="O88" i="9" s="1"/>
  <c r="L88" i="9"/>
  <c r="J385" i="1"/>
  <c r="M385" i="1" s="1"/>
  <c r="J384" i="1"/>
  <c r="J995" i="1"/>
  <c r="M995" i="1" s="1"/>
  <c r="N990" i="1" s="1"/>
  <c r="O990" i="1" s="1"/>
  <c r="G1101" i="1"/>
  <c r="J1101" i="1" s="1"/>
  <c r="A91" i="1" l="1"/>
  <c r="A92" i="1" s="1"/>
  <c r="A93" i="1" s="1"/>
  <c r="A94" i="1" s="1"/>
  <c r="A95" i="1" s="1"/>
  <c r="A920" i="1"/>
  <c r="A924" i="1"/>
  <c r="A921" i="1"/>
  <c r="E12" i="9"/>
  <c r="T22" i="1"/>
  <c r="U22" i="1" s="1"/>
  <c r="T25" i="1"/>
  <c r="N22" i="1"/>
  <c r="O55" i="1"/>
  <c r="A22" i="1"/>
  <c r="K22" i="1"/>
  <c r="A413" i="1"/>
  <c r="A414" i="1" s="1"/>
  <c r="A415" i="1" s="1"/>
  <c r="A416" i="1" s="1"/>
  <c r="A455" i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K455" i="1"/>
  <c r="A686" i="1"/>
  <c r="K686" i="1"/>
  <c r="E47" i="9"/>
  <c r="F47" i="9" s="1"/>
  <c r="O734" i="1"/>
  <c r="A362" i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K362" i="1"/>
  <c r="A1124" i="1"/>
  <c r="A1125" i="1" s="1"/>
  <c r="A1126" i="1" s="1"/>
  <c r="A1127" i="1" s="1"/>
  <c r="N428" i="1"/>
  <c r="O428" i="1" s="1"/>
  <c r="E33" i="9"/>
  <c r="F33" i="9" s="1"/>
  <c r="M1101" i="1"/>
  <c r="N1080" i="1" s="1"/>
  <c r="O1080" i="1" s="1"/>
  <c r="J1080" i="1"/>
  <c r="J990" i="1"/>
  <c r="N686" i="1"/>
  <c r="O686" i="1" s="1"/>
  <c r="J428" i="1"/>
  <c r="J382" i="1"/>
  <c r="K382" i="1" s="1"/>
  <c r="M384" i="1"/>
  <c r="N382" i="1" s="1"/>
  <c r="O382" i="1" s="1"/>
  <c r="N989" i="1"/>
  <c r="O989" i="1" s="1"/>
  <c r="E56" i="9"/>
  <c r="F56" i="9" s="1"/>
  <c r="E27" i="9"/>
  <c r="E23" i="9" l="1"/>
  <c r="F23" i="9" s="1"/>
  <c r="F12" i="9"/>
  <c r="T23" i="1"/>
  <c r="U23" i="1" s="1"/>
  <c r="S25" i="1"/>
  <c r="U25" i="1" s="1"/>
  <c r="N23" i="9"/>
  <c r="Q25" i="1"/>
  <c r="O22" i="1"/>
  <c r="Q23" i="1"/>
  <c r="A1080" i="1"/>
  <c r="A1081" i="1" s="1"/>
  <c r="A1082" i="1" s="1"/>
  <c r="A1083" i="1" s="1"/>
  <c r="K1080" i="1"/>
  <c r="A990" i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K990" i="1"/>
  <c r="A428" i="1"/>
  <c r="K428" i="1"/>
  <c r="A382" i="1"/>
  <c r="A383" i="1" s="1"/>
  <c r="A384" i="1" s="1"/>
  <c r="A385" i="1" s="1"/>
  <c r="J989" i="1"/>
  <c r="I1204" i="1"/>
  <c r="J1204" i="1" s="1"/>
  <c r="M1204" i="1" s="1"/>
  <c r="J329" i="1"/>
  <c r="N329" i="1"/>
  <c r="O329" i="1" s="1"/>
  <c r="E28" i="9"/>
  <c r="F28" i="9" s="1"/>
  <c r="F27" i="9"/>
  <c r="A1084" i="1" l="1"/>
  <c r="A1085" i="1" s="1"/>
  <c r="A1086" i="1" s="1"/>
  <c r="A1087" i="1" s="1"/>
  <c r="A1088" i="1" s="1"/>
  <c r="A1089" i="1" s="1"/>
  <c r="A1090" i="1" s="1"/>
  <c r="A1091" i="1" s="1"/>
  <c r="A1092" i="1" s="1"/>
  <c r="M23" i="9"/>
  <c r="O23" i="9" s="1"/>
  <c r="L23" i="9"/>
  <c r="R2" i="1"/>
  <c r="S2" i="1" s="1"/>
  <c r="A386" i="1"/>
  <c r="A387" i="1" s="1"/>
  <c r="A388" i="1" s="1"/>
  <c r="A389" i="1" s="1"/>
  <c r="A329" i="1"/>
  <c r="K329" i="1"/>
  <c r="A989" i="1"/>
  <c r="K989" i="1"/>
  <c r="J1200" i="1"/>
  <c r="K1200" i="1" s="1"/>
  <c r="N1200" i="1"/>
  <c r="O1200" i="1" s="1"/>
  <c r="A1095" i="1" l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093" i="1"/>
  <c r="A1094" i="1" s="1"/>
  <c r="A1200" i="1"/>
  <c r="A1201" i="1" s="1"/>
  <c r="A1202" i="1" s="1"/>
  <c r="A1203" i="1" s="1"/>
  <c r="A1204" i="1" s="1"/>
  <c r="J1042" i="1"/>
  <c r="K1042" i="1" s="1"/>
  <c r="N1042" i="1"/>
  <c r="O1042" i="1" s="1"/>
  <c r="E57" i="9"/>
  <c r="A1205" i="1" l="1"/>
  <c r="A1206" i="1" s="1"/>
  <c r="A1207" i="1" s="1"/>
  <c r="A1208" i="1" s="1"/>
  <c r="J328" i="1"/>
  <c r="K328" i="1" s="1"/>
  <c r="A1042" i="1"/>
  <c r="N328" i="1"/>
  <c r="O328" i="1" s="1"/>
  <c r="Q328" i="1"/>
  <c r="E63" i="9"/>
  <c r="R3" i="1" s="1"/>
  <c r="S3" i="1" s="1"/>
  <c r="F57" i="9"/>
  <c r="A328" i="1" l="1"/>
  <c r="L63" i="9"/>
  <c r="M63" i="9"/>
  <c r="F63" i="9"/>
  <c r="E65" i="9"/>
  <c r="I1212" i="1" s="1"/>
  <c r="J1212" i="1" s="1"/>
  <c r="M1212" i="1" s="1"/>
  <c r="I1244" i="1"/>
  <c r="J1244" i="1" s="1"/>
  <c r="N63" i="9"/>
  <c r="I1216" i="1"/>
  <c r="J1216" i="1" s="1"/>
  <c r="M1216" i="1" s="1"/>
  <c r="N1215" i="1" s="1"/>
  <c r="O1215" i="1" s="1"/>
  <c r="T328" i="1"/>
  <c r="Q329" i="1"/>
  <c r="N1211" i="1" l="1"/>
  <c r="O1211" i="1" s="1"/>
  <c r="I1243" i="1"/>
  <c r="J1243" i="1" s="1"/>
  <c r="M1243" i="1" s="1"/>
  <c r="M1244" i="1"/>
  <c r="E69" i="9" s="1"/>
  <c r="F69" i="9" s="1"/>
  <c r="F65" i="9"/>
  <c r="O63" i="9"/>
  <c r="E67" i="9" l="1"/>
  <c r="F67" i="9" s="1"/>
  <c r="N1242" i="1"/>
  <c r="O1242" i="1" s="1"/>
  <c r="E68" i="9"/>
  <c r="I1250" i="1"/>
  <c r="J1250" i="1" s="1"/>
  <c r="F57" i="8" s="1"/>
  <c r="I1249" i="1"/>
  <c r="J1249" i="1" s="1"/>
  <c r="E72" i="9"/>
  <c r="F72" i="9" s="1"/>
  <c r="N1210" i="1"/>
  <c r="O1210" i="1" s="1"/>
  <c r="M1249" i="1" l="1"/>
  <c r="T1270" i="1" s="1"/>
  <c r="D57" i="8"/>
  <c r="H57" i="8" s="1"/>
  <c r="F52" i="8"/>
  <c r="M1250" i="1"/>
  <c r="F68" i="9"/>
  <c r="N1241" i="1"/>
  <c r="O1241" i="1" s="1"/>
  <c r="D52" i="8"/>
  <c r="N1248" i="1" l="1"/>
  <c r="R10" i="8" s="1"/>
  <c r="T10" i="8" s="1"/>
  <c r="S1210" i="1"/>
  <c r="S1209" i="1"/>
  <c r="X10" i="8" l="1"/>
  <c r="W10" i="8"/>
  <c r="J57" i="8"/>
  <c r="O1248" i="1"/>
  <c r="N1247" i="1"/>
  <c r="O1247" i="1" s="1"/>
  <c r="E73" i="9"/>
  <c r="E74" i="9" s="1"/>
  <c r="R4" i="1" s="1"/>
  <c r="S4" i="1" s="1"/>
  <c r="H52" i="8"/>
  <c r="J52" i="8" s="1"/>
  <c r="F73" i="9" l="1"/>
  <c r="Q1209" i="1"/>
  <c r="N1209" i="1"/>
  <c r="O1209" i="1" s="1"/>
  <c r="R9" i="8"/>
  <c r="T9" i="8" s="1"/>
  <c r="X9" i="8" s="1"/>
  <c r="T1209" i="1"/>
  <c r="U1209" i="1" s="1"/>
  <c r="T1211" i="1"/>
  <c r="T1269" i="1"/>
  <c r="F74" i="9"/>
  <c r="M74" i="9"/>
  <c r="E90" i="9"/>
  <c r="Q1211" i="1" l="1"/>
  <c r="N74" i="9"/>
  <c r="O74" i="9" s="1"/>
  <c r="T1210" i="1"/>
  <c r="U1210" i="1" s="1"/>
  <c r="L74" i="9"/>
  <c r="Q1210" i="1"/>
  <c r="S1211" i="1"/>
  <c r="U1211" i="1" s="1"/>
  <c r="N1269" i="1"/>
  <c r="O1269" i="1" s="1"/>
  <c r="I3" i="1" s="1"/>
  <c r="W9" i="8"/>
  <c r="M90" i="9"/>
  <c r="G2" i="9"/>
  <c r="Q9" i="8" s="1"/>
  <c r="F90" i="9"/>
  <c r="G3" i="9" s="1"/>
  <c r="Q10" i="8" s="1"/>
  <c r="Q1270" i="1" l="1"/>
  <c r="N90" i="9"/>
  <c r="O90" i="9" s="1"/>
  <c r="S1269" i="1"/>
  <c r="U1269" i="1" s="1"/>
  <c r="L90" i="9"/>
  <c r="I2" i="1"/>
  <c r="Q1269" i="1"/>
  <c r="S1270" i="1"/>
  <c r="U1270" i="1" s="1"/>
  <c r="I47" i="8"/>
  <c r="E47" i="8"/>
  <c r="G47" i="8"/>
  <c r="F47" i="8"/>
  <c r="H47" i="8"/>
  <c r="G1" i="1" l="1"/>
  <c r="F1" i="1"/>
  <c r="G57" i="8"/>
  <c r="I5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fleury ngappi</author>
  </authors>
  <commentList>
    <comment ref="C8" authorId="0" shapeId="0" xr:uid="{07B0BA0D-FC9A-4B3E-BD9C-367EF723F304}">
      <text>
        <r>
          <rPr>
            <b/>
            <sz val="9"/>
            <color indexed="81"/>
            <rFont val="Tahoma"/>
            <family val="2"/>
          </rPr>
          <t>fleury ngappi:</t>
        </r>
        <r>
          <rPr>
            <sz val="9"/>
            <color indexed="81"/>
            <rFont val="Tahoma"/>
            <family val="2"/>
          </rPr>
          <t xml:space="preserve">
Select Yes or No
</t>
        </r>
      </text>
    </comment>
    <comment ref="E8" authorId="0" shapeId="0" xr:uid="{AF1BDC47-1C28-45DE-B6E1-45387F01AFED}">
      <text>
        <r>
          <rPr>
            <b/>
            <sz val="9"/>
            <color indexed="81"/>
            <rFont val="Tahoma"/>
            <family val="2"/>
          </rPr>
          <t>fleury ngappi:</t>
        </r>
        <r>
          <rPr>
            <sz val="9"/>
            <color indexed="81"/>
            <rFont val="Tahoma"/>
            <family val="2"/>
          </rPr>
          <t xml:space="preserve">
Enter hole number ex. 50 for 50%
</t>
        </r>
      </text>
    </comment>
    <comment ref="F8" authorId="0" shapeId="0" xr:uid="{F53CE2A6-41BE-43D2-9CC6-D1FFAB4E13EC}">
      <text>
        <r>
          <rPr>
            <b/>
            <sz val="9"/>
            <color indexed="81"/>
            <rFont val="Tahoma"/>
            <family val="2"/>
          </rPr>
          <t>fleury ngappi:</t>
        </r>
        <r>
          <rPr>
            <sz val="9"/>
            <color indexed="81"/>
            <rFont val="Tahoma"/>
            <family val="2"/>
          </rPr>
          <t xml:space="preserve">
monthly salary rate to be charged, burden added to this on GC tab</t>
        </r>
      </text>
    </comment>
    <comment ref="C34" authorId="0" shapeId="0" xr:uid="{5F1545EC-BA8C-4CDB-9457-330E4E78C7C6}">
      <text>
        <r>
          <rPr>
            <b/>
            <sz val="9"/>
            <color indexed="81"/>
            <rFont val="Tahoma"/>
            <family val="2"/>
          </rPr>
          <t>fleury ngappi:</t>
        </r>
        <r>
          <rPr>
            <sz val="9"/>
            <color indexed="81"/>
            <rFont val="Tahoma"/>
            <family val="2"/>
          </rPr>
          <t xml:space="preserve">
flat monthly rate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fleury ngappi</author>
  </authors>
  <commentList>
    <comment ref="K8" authorId="0" shapeId="0" xr:uid="{8CC8F900-E820-4A2E-AF9B-7E65844D370A}">
      <text>
        <r>
          <rPr>
            <b/>
            <sz val="9"/>
            <color indexed="81"/>
            <rFont val="Tahoma"/>
            <family val="2"/>
          </rPr>
          <t>fleury ngappi:</t>
        </r>
        <r>
          <rPr>
            <sz val="9"/>
            <color indexed="81"/>
            <rFont val="Tahoma"/>
            <family val="2"/>
          </rPr>
          <t xml:space="preserve">
Enter additional costs as a positive #, discounts as a negative #.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fleury ngappi</author>
  </authors>
  <commentList>
    <comment ref="A1" authorId="0" shapeId="0" xr:uid="{A91FE1B8-82DB-48B0-9FAE-77F3BBE53964}">
      <text>
        <r>
          <rPr>
            <b/>
            <sz val="9"/>
            <color indexed="81"/>
            <rFont val="Tahoma"/>
            <family val="2"/>
          </rPr>
          <t>fleury ngappi: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" authorId="0" shapeId="0" xr:uid="{9590FB7F-CD3E-4F26-9215-3A1A31F35150}">
      <text>
        <r>
          <rPr>
            <b/>
            <sz val="9"/>
            <color indexed="81"/>
            <rFont val="Tahoma"/>
            <family val="2"/>
          </rPr>
          <t>fleury ngappi:</t>
        </r>
        <r>
          <rPr>
            <sz val="9"/>
            <color indexed="81"/>
            <rFont val="Tahoma"/>
            <family val="2"/>
          </rPr>
          <t xml:space="preserve">
Adjustments to subcontractor pricing based on historical data, etc. i.e. reduced steel quote due to tonnage being higher than similar projects bought out recently</t>
        </r>
      </text>
    </comment>
    <comment ref="F8" authorId="0" shapeId="0" xr:uid="{D4D2649C-1988-4F1E-809D-E6572C9EE619}">
      <text>
        <r>
          <rPr>
            <b/>
            <sz val="9"/>
            <color indexed="81"/>
            <rFont val="Tahoma"/>
            <family val="2"/>
          </rPr>
          <t>fleury ngappi:</t>
        </r>
        <r>
          <rPr>
            <sz val="9"/>
            <color indexed="81"/>
            <rFont val="Tahoma"/>
            <family val="2"/>
          </rPr>
          <t xml:space="preserve">
Straight cuts to budget</t>
        </r>
      </text>
    </comment>
    <comment ref="I8" authorId="0" shapeId="0" xr:uid="{E921D773-7085-4BEB-86BB-2798712B3689}">
      <text>
        <r>
          <rPr>
            <b/>
            <sz val="9"/>
            <color indexed="81"/>
            <rFont val="Tahoma"/>
            <family val="2"/>
          </rPr>
          <t>fleury ngappi:</t>
        </r>
        <r>
          <rPr>
            <sz val="9"/>
            <color indexed="81"/>
            <rFont val="Tahoma"/>
            <family val="2"/>
          </rPr>
          <t xml:space="preserve">
Risk + Savings</t>
        </r>
      </text>
    </comment>
  </commentList>
</comments>
</file>

<file path=xl/sharedStrings.xml><?xml version="1.0" encoding="utf-8"?>
<sst xmlns="http://schemas.openxmlformats.org/spreadsheetml/2006/main" count="4222" uniqueCount="1443">
  <si>
    <t>LS</t>
  </si>
  <si>
    <t>SF</t>
  </si>
  <si>
    <t>EA</t>
  </si>
  <si>
    <t>LF</t>
  </si>
  <si>
    <t>Unit</t>
  </si>
  <si>
    <t>Quantity</t>
  </si>
  <si>
    <t>Allowance</t>
  </si>
  <si>
    <t>Civil Design</t>
  </si>
  <si>
    <t>Building Permit</t>
  </si>
  <si>
    <t>Vapor Barrier</t>
  </si>
  <si>
    <t>Mobilization</t>
  </si>
  <si>
    <t>Phone Board</t>
  </si>
  <si>
    <t>Overhead Doors</t>
  </si>
  <si>
    <t>Tap/Impact</t>
  </si>
  <si>
    <t>Lapidolith</t>
  </si>
  <si>
    <t>Dock Stairs</t>
  </si>
  <si>
    <t>PR</t>
  </si>
  <si>
    <t>Testing</t>
  </si>
  <si>
    <t>Curb &amp; Gutter</t>
  </si>
  <si>
    <t>Sidewalks</t>
  </si>
  <si>
    <t>TONS</t>
  </si>
  <si>
    <t>Storm Sewer</t>
  </si>
  <si>
    <t>Dowel Baskets @ Control Jts.</t>
  </si>
  <si>
    <t>Design</t>
  </si>
  <si>
    <t>Caulk Concrete Paving</t>
  </si>
  <si>
    <t>Erosion Control</t>
  </si>
  <si>
    <t>Line Tap</t>
  </si>
  <si>
    <t>Connect to Existing</t>
  </si>
  <si>
    <t>Concrete Paving</t>
  </si>
  <si>
    <t>Drive-in Ramps</t>
  </si>
  <si>
    <t>Fire Pump Base</t>
  </si>
  <si>
    <t>Handrails</t>
  </si>
  <si>
    <t>Downspout Guards</t>
  </si>
  <si>
    <t>Roof Ladder</t>
  </si>
  <si>
    <t>Cleanouts</t>
  </si>
  <si>
    <t>Geotech Report</t>
  </si>
  <si>
    <t>Builder's Risk Insurance</t>
  </si>
  <si>
    <t>AC</t>
  </si>
  <si>
    <t>CY</t>
  </si>
  <si>
    <t>SY</t>
  </si>
  <si>
    <t>FT</t>
  </si>
  <si>
    <t>TOTAL:</t>
  </si>
  <si>
    <t>MOS</t>
  </si>
  <si>
    <t>IN</t>
  </si>
  <si>
    <t>FC</t>
  </si>
  <si>
    <t>Flumes</t>
  </si>
  <si>
    <t>Topo Survey</t>
  </si>
  <si>
    <t>Demolition</t>
  </si>
  <si>
    <t>Asphalt Paving</t>
  </si>
  <si>
    <t xml:space="preserve">Detention Pond Excavation </t>
  </si>
  <si>
    <t>Temporary Roads</t>
  </si>
  <si>
    <t>SITEWORK</t>
  </si>
  <si>
    <t>Rip Rap</t>
  </si>
  <si>
    <t>Detention Structure</t>
  </si>
  <si>
    <t>Impact/Capacity fees</t>
  </si>
  <si>
    <t>Building Stub-Ups</t>
  </si>
  <si>
    <t>Cut &amp; Patch Pavement</t>
  </si>
  <si>
    <t>6" PVC</t>
  </si>
  <si>
    <t>8" PVC</t>
  </si>
  <si>
    <t>Lift Station with Manhole</t>
  </si>
  <si>
    <t>Dumpster Drain</t>
  </si>
  <si>
    <t>Car Parking Bumpers</t>
  </si>
  <si>
    <t>Truck Parking Bumpers</t>
  </si>
  <si>
    <t>Car Parking Stripes</t>
  </si>
  <si>
    <t>Truck Parking Stripes</t>
  </si>
  <si>
    <t>Paving Fabric</t>
  </si>
  <si>
    <t>Stone Road (10")</t>
  </si>
  <si>
    <t>Landscaping</t>
  </si>
  <si>
    <t>Trees</t>
  </si>
  <si>
    <t>Shrubs</t>
  </si>
  <si>
    <t>Grassing</t>
  </si>
  <si>
    <t>Irrigation System</t>
  </si>
  <si>
    <t>Continuous Footings</t>
  </si>
  <si>
    <t>Grout Column Bases</t>
  </si>
  <si>
    <t>Elevator Pit</t>
  </si>
  <si>
    <t>Fine Grading</t>
  </si>
  <si>
    <t>Ashford</t>
  </si>
  <si>
    <t>Pipe Bollards</t>
  </si>
  <si>
    <t>Interior Curbs</t>
  </si>
  <si>
    <t>SHELL BUILDING</t>
  </si>
  <si>
    <t>Beams</t>
  </si>
  <si>
    <t>Pipe Bollards (6")</t>
  </si>
  <si>
    <t>Roof Stair</t>
  </si>
  <si>
    <t>Floor Joists (4.25#/SF)</t>
  </si>
  <si>
    <t>Roof Joists</t>
  </si>
  <si>
    <t>Roof Deck -- white</t>
  </si>
  <si>
    <t>Galvanizing premium</t>
  </si>
  <si>
    <t>Floor Deck</t>
  </si>
  <si>
    <t>Elec/FP Rooms</t>
  </si>
  <si>
    <t>Metal Siding</t>
  </si>
  <si>
    <t>Roof Top Eqpt. Screen</t>
  </si>
  <si>
    <t>Roof Expansion Joint</t>
  </si>
  <si>
    <t>Blocking @ Roof Frames</t>
  </si>
  <si>
    <t xml:space="preserve">Waterproofing Below Grade </t>
  </si>
  <si>
    <t>Perimeter Insulation</t>
  </si>
  <si>
    <t>Spray-On Fireproofing</t>
  </si>
  <si>
    <t>Roofing</t>
  </si>
  <si>
    <t>Tilt-up Panels (exterior)</t>
  </si>
  <si>
    <t>Tilt-up Panels (interior)</t>
  </si>
  <si>
    <t>Masonry</t>
  </si>
  <si>
    <t>Miscellaneous Caulking</t>
  </si>
  <si>
    <t>Elec/FP Room Doors</t>
  </si>
  <si>
    <t>Entry Doors (double)</t>
  </si>
  <si>
    <t>Spandrel premium</t>
  </si>
  <si>
    <t>DOORS, WINDOWS &amp; GLASS</t>
  </si>
  <si>
    <t>THERMAL &amp; MOISTURE PROTECTION</t>
  </si>
  <si>
    <t>WOOD &amp; PLASTICS</t>
  </si>
  <si>
    <t>METALS</t>
  </si>
  <si>
    <t>MASONRY</t>
  </si>
  <si>
    <t>CONCRETE</t>
  </si>
  <si>
    <t>FINISHES</t>
  </si>
  <si>
    <t>Flooring</t>
  </si>
  <si>
    <t>Soffits</t>
  </si>
  <si>
    <t>Metal Doors</t>
  </si>
  <si>
    <t>Miscellaneous</t>
  </si>
  <si>
    <t>Interior Block Walls</t>
  </si>
  <si>
    <t>Interior Tilt-up/Precast</t>
  </si>
  <si>
    <t>Columns</t>
  </si>
  <si>
    <t>FP Risers</t>
  </si>
  <si>
    <t>Epoxy flooring</t>
  </si>
  <si>
    <t>Dock Levelers</t>
  </si>
  <si>
    <t>SPECIALTIES</t>
  </si>
  <si>
    <t>EQUIPMENT</t>
  </si>
  <si>
    <t>Fire Protection</t>
  </si>
  <si>
    <t>San. Sewer Line in Building</t>
  </si>
  <si>
    <t>ELECTRICAL</t>
  </si>
  <si>
    <t>Main Switchgear</t>
  </si>
  <si>
    <t>Primary Service Conduits to Bldg</t>
  </si>
  <si>
    <t>Telephone Conduits to Bldg</t>
  </si>
  <si>
    <t>Exterior Lighting</t>
  </si>
  <si>
    <t>Bollard Lights</t>
  </si>
  <si>
    <t>Wall Packs -- 150W</t>
  </si>
  <si>
    <t>T5 High Bay</t>
  </si>
  <si>
    <t>Lighting Contactors</t>
  </si>
  <si>
    <t>Quartz Restrike</t>
  </si>
  <si>
    <t>Lenses</t>
  </si>
  <si>
    <t>Night Lights</t>
  </si>
  <si>
    <t>Exit Lights</t>
  </si>
  <si>
    <t>Emergency Lights</t>
  </si>
  <si>
    <t>Canopy Lights</t>
  </si>
  <si>
    <t>Compactor Light &amp; Switch</t>
  </si>
  <si>
    <t>Motion Sensors</t>
  </si>
  <si>
    <t>Security System</t>
  </si>
  <si>
    <t>Lightning Protection</t>
  </si>
  <si>
    <t>Temporary Lights &amp; Power</t>
  </si>
  <si>
    <t xml:space="preserve">Travel </t>
  </si>
  <si>
    <t>Staking/Layout</t>
  </si>
  <si>
    <t xml:space="preserve">Fire Hydrant </t>
  </si>
  <si>
    <t>Backflow Preventer &amp; Vault</t>
  </si>
  <si>
    <t xml:space="preserve">PIV </t>
  </si>
  <si>
    <t>Light Duty Asphalt</t>
  </si>
  <si>
    <t xml:space="preserve">Heavy Duty Asphalt </t>
  </si>
  <si>
    <t>Interior Column Footings</t>
  </si>
  <si>
    <t>Reinforcing</t>
  </si>
  <si>
    <t>Thickened Edge</t>
  </si>
  <si>
    <t>Perimeter Blocking</t>
  </si>
  <si>
    <t>Entry Doors (single)</t>
  </si>
  <si>
    <t>Tilt Walls</t>
  </si>
  <si>
    <t>Office Stairs</t>
  </si>
  <si>
    <t>Design &amp; Testing</t>
  </si>
  <si>
    <t>Backfill Material</t>
  </si>
  <si>
    <t>Termite Treatment</t>
  </si>
  <si>
    <t>Roof Steel</t>
  </si>
  <si>
    <t>Floor Steel</t>
  </si>
  <si>
    <t>Tilt Wall Embeds</t>
  </si>
  <si>
    <t>Emergency Generator</t>
  </si>
  <si>
    <t xml:space="preserve">Toilet Accessories </t>
  </si>
  <si>
    <t>Mirrors</t>
  </si>
  <si>
    <t>Interior Windows</t>
  </si>
  <si>
    <t>Fire Pump/Electric Rooms</t>
  </si>
  <si>
    <t>Surcharge</t>
  </si>
  <si>
    <t>GENERAL CONDITIONS</t>
  </si>
  <si>
    <t>Elevated Slabs</t>
  </si>
  <si>
    <t xml:space="preserve">Metal Canopies </t>
  </si>
  <si>
    <t xml:space="preserve">Tilt Wall Panels </t>
  </si>
  <si>
    <t>NPDES Filing Fee</t>
  </si>
  <si>
    <t>Site Permit</t>
  </si>
  <si>
    <t>Plan Review Fee</t>
  </si>
  <si>
    <t>Business License</t>
  </si>
  <si>
    <t>20-year Warranty</t>
  </si>
  <si>
    <t>15-year Warranty</t>
  </si>
  <si>
    <t>Floor Beams</t>
  </si>
  <si>
    <t>Floor Angles</t>
  </si>
  <si>
    <t>Walls</t>
  </si>
  <si>
    <t>Doors</t>
  </si>
  <si>
    <t>Ceilings</t>
  </si>
  <si>
    <t>Cut openings in existing panels</t>
  </si>
  <si>
    <t>Demo Fire Line</t>
  </si>
  <si>
    <t>Landscaping, Seeding &amp; Irrigation</t>
  </si>
  <si>
    <t>Existing Tilt Walls</t>
  </si>
  <si>
    <t>Fire Caulk @ Existing Wall</t>
  </si>
  <si>
    <t>Water Line in Building</t>
  </si>
  <si>
    <t>3-way switches @ Pick Module</t>
  </si>
  <si>
    <t>Roof Drain Pans</t>
  </si>
  <si>
    <t>Curb</t>
  </si>
  <si>
    <t>Asphalt</t>
  </si>
  <si>
    <t>Throats &amp; Tops</t>
  </si>
  <si>
    <t>HC Parking Striping</t>
  </si>
  <si>
    <t>HC Parking Signs</t>
  </si>
  <si>
    <t>Office (3.00#/SF)</t>
  </si>
  <si>
    <t>Base Cabinets</t>
  </si>
  <si>
    <t>Upper Cabinets</t>
  </si>
  <si>
    <t>Partition Cap</t>
  </si>
  <si>
    <t>Closet Shelving</t>
  </si>
  <si>
    <t>Closet Rod &amp; Shelf</t>
  </si>
  <si>
    <t>Adjustable Shelving</t>
  </si>
  <si>
    <t>Specialty Trim</t>
  </si>
  <si>
    <t>Window Sills</t>
  </si>
  <si>
    <t>Wood Blocking</t>
  </si>
  <si>
    <t>Roof Hatch</t>
  </si>
  <si>
    <t xml:space="preserve">Skylights </t>
  </si>
  <si>
    <t>Smoke Vents</t>
  </si>
  <si>
    <t>HM Double Doors</t>
  </si>
  <si>
    <t>HM Single Doors</t>
  </si>
  <si>
    <t>WD Double Doors</t>
  </si>
  <si>
    <t>WD Single Doors - prefinished</t>
  </si>
  <si>
    <t>Framing &amp; Drywall</t>
  </si>
  <si>
    <t>Insulated Stud Wall w/ Ext. Sheathing</t>
  </si>
  <si>
    <t>Wall to Deck</t>
  </si>
  <si>
    <t>Wall Insulation</t>
  </si>
  <si>
    <t>Drywall Ceiling</t>
  </si>
  <si>
    <t>Insulation</t>
  </si>
  <si>
    <t>VCT</t>
  </si>
  <si>
    <t>Rubber Treads</t>
  </si>
  <si>
    <t>Rubber Flooring</t>
  </si>
  <si>
    <t>Block Walls</t>
  </si>
  <si>
    <t>Drywall Partitions/Ceilings - Latex</t>
  </si>
  <si>
    <t>Drywall Partitions/Ceilings - Epoxy</t>
  </si>
  <si>
    <t>Doors &amp; Frames</t>
  </si>
  <si>
    <t>Steel Stairs</t>
  </si>
  <si>
    <t>Steel Handrail</t>
  </si>
  <si>
    <t>Vinyl Wallcovering</t>
  </si>
  <si>
    <t>Hydraulic</t>
  </si>
  <si>
    <t>Cab Upgrade</t>
  </si>
  <si>
    <t>Chilled Water System</t>
  </si>
  <si>
    <t>Computer Room Split Systems</t>
  </si>
  <si>
    <t>Bathroom Exhaust Fan</t>
  </si>
  <si>
    <t>Thru Wall Unit</t>
  </si>
  <si>
    <t>Exhaust Fan (150 CFM)</t>
  </si>
  <si>
    <t>Exhaust Fan (500 CFM)</t>
  </si>
  <si>
    <t>Electric Wall Heaters</t>
  </si>
  <si>
    <t>Fire Dampers</t>
  </si>
  <si>
    <t>2 x 4 Parabolic</t>
  </si>
  <si>
    <t>Can Lights</t>
  </si>
  <si>
    <t>Garbage Disposal</t>
  </si>
  <si>
    <t>HVAC Units</t>
  </si>
  <si>
    <t>Exhaust fans</t>
  </si>
  <si>
    <t>Duct Detectors</t>
  </si>
  <si>
    <t>Manholes</t>
  </si>
  <si>
    <t>Repair Asphalt</t>
  </si>
  <si>
    <t>Ceramic Floor Tile</t>
  </si>
  <si>
    <t>Ceramic Wall Tile</t>
  </si>
  <si>
    <t>Ceramic Base</t>
  </si>
  <si>
    <t>Packaged RTUS</t>
  </si>
  <si>
    <t>Tons</t>
  </si>
  <si>
    <t>Rough In</t>
  </si>
  <si>
    <t>Floor Drains</t>
  </si>
  <si>
    <t>Acid Dilution Basin</t>
  </si>
  <si>
    <t>Hose Bibs</t>
  </si>
  <si>
    <t>Eye Wash/Shower</t>
  </si>
  <si>
    <t>Toilets</t>
  </si>
  <si>
    <t>Urinals</t>
  </si>
  <si>
    <t>Sinks</t>
  </si>
  <si>
    <t>Mop Sinks</t>
  </si>
  <si>
    <t>Water Fountain</t>
  </si>
  <si>
    <t>Warehouse</t>
  </si>
  <si>
    <t>Detention Pond Demucking &amp; Hauloff</t>
  </si>
  <si>
    <t>Z-Guards</t>
  </si>
  <si>
    <t>Filtration Structure</t>
  </si>
  <si>
    <t>Lintels</t>
  </si>
  <si>
    <t xml:space="preserve">Mezzanine Stairs &amp; Handrail </t>
  </si>
  <si>
    <t xml:space="preserve">Floor Patch </t>
  </si>
  <si>
    <t>Elevator Sump</t>
  </si>
  <si>
    <t>Outlets</t>
  </si>
  <si>
    <t>GFI Outlets</t>
  </si>
  <si>
    <t>Phone/Data Stubs</t>
  </si>
  <si>
    <t>Office Switches</t>
  </si>
  <si>
    <t>Three Way Switches</t>
  </si>
  <si>
    <t>Partition Furniture Connection</t>
  </si>
  <si>
    <t>Water Heaters</t>
  </si>
  <si>
    <t>Ceiling Duplex Outlets</t>
  </si>
  <si>
    <t xml:space="preserve">Battery Chargers </t>
  </si>
  <si>
    <t>Dock Lights</t>
  </si>
  <si>
    <t>Gas Unit Heaters</t>
  </si>
  <si>
    <t>Air Rotation Units</t>
  </si>
  <si>
    <t>Makeup Air Units</t>
  </si>
  <si>
    <t>Exhaust Fans</t>
  </si>
  <si>
    <t>Louvers</t>
  </si>
  <si>
    <t xml:space="preserve">Trash Compactor </t>
  </si>
  <si>
    <t>Quad Outlets Dedicated</t>
  </si>
  <si>
    <t>Computer Room Emerg. Disconnect</t>
  </si>
  <si>
    <t>J-box in Ceiling</t>
  </si>
  <si>
    <t>Power Pole Connection</t>
  </si>
  <si>
    <t>Dishwashers</t>
  </si>
  <si>
    <t>Exhaust Fan @ Elec/FP Rooms</t>
  </si>
  <si>
    <t>Electric Heater @ Elec/FP Rooms</t>
  </si>
  <si>
    <t>Electric Heater</t>
  </si>
  <si>
    <t>Warehouse Package Units</t>
  </si>
  <si>
    <t>Make Up Air Units</t>
  </si>
  <si>
    <t>Warehouse Louvers  &amp; Dampers</t>
  </si>
  <si>
    <t>Interlocking/Controls @ Louvers/Fans</t>
  </si>
  <si>
    <t>Motorized Dampers</t>
  </si>
  <si>
    <t>Battery Charger Exhaust Fan</t>
  </si>
  <si>
    <t>PTAC Unit</t>
  </si>
  <si>
    <t>Test &amp; Balance</t>
  </si>
  <si>
    <t>Reducting/Diffusers</t>
  </si>
  <si>
    <t>AHU Screening</t>
  </si>
  <si>
    <t>AEON Units</t>
  </si>
  <si>
    <t>Temporary HVAC/ Humidity Control/ Filtration</t>
  </si>
  <si>
    <t>MEP Commissioning</t>
  </si>
  <si>
    <t>Filter Replacement</t>
  </si>
  <si>
    <t>Dock Levelers - Mechanical</t>
  </si>
  <si>
    <t>Dock Bumpers</t>
  </si>
  <si>
    <t>Dock Shelters</t>
  </si>
  <si>
    <t>Dock Seals</t>
  </si>
  <si>
    <t>__# CAP.</t>
  </si>
  <si>
    <t>Embeds @ Elec/FP Rooms</t>
  </si>
  <si>
    <t>Interior Steel</t>
  </si>
  <si>
    <t>X-Bracing (12,500#/EA)</t>
  </si>
  <si>
    <t>K-Bracing (12,500#/EA)</t>
  </si>
  <si>
    <t>Moment Frames</t>
  </si>
  <si>
    <t>Expansion Joint Angles</t>
  </si>
  <si>
    <t>Perimeter Steel</t>
  </si>
  <si>
    <t>Columns &amp; Beams</t>
  </si>
  <si>
    <t>Bracing</t>
  </si>
  <si>
    <t>Edge Angles</t>
  </si>
  <si>
    <t>Concrete Column Wraps</t>
  </si>
  <si>
    <t>Compactor Pit</t>
  </si>
  <si>
    <t>Office Slab</t>
  </si>
  <si>
    <t>Warehouse Slab</t>
  </si>
  <si>
    <t>Concrete Piers</t>
  </si>
  <si>
    <t>Dock Leveler Pits</t>
  </si>
  <si>
    <t xml:space="preserve"> (3'x7')</t>
  </si>
  <si>
    <t>Clerestory Windows</t>
  </si>
  <si>
    <t>Detex Alarms</t>
  </si>
  <si>
    <t>CCTV Dedicated Outlets</t>
  </si>
  <si>
    <t>Feeder</t>
  </si>
  <si>
    <t>AMPS</t>
  </si>
  <si>
    <t>Convenience Outlets</t>
  </si>
  <si>
    <t>Battery Charging Panel</t>
  </si>
  <si>
    <t>6+2</t>
  </si>
  <si>
    <t>Roof Drain Leaders</t>
  </si>
  <si>
    <t>Power Distribution</t>
  </si>
  <si>
    <t>Wheel Stops</t>
  </si>
  <si>
    <t>Guard House Power</t>
  </si>
  <si>
    <t>Service Sink</t>
  </si>
  <si>
    <t>Gyp Ceiling</t>
  </si>
  <si>
    <t>(6'x7')</t>
  </si>
  <si>
    <t>Ventilation Fans @ Maint/Repair Rooms</t>
  </si>
  <si>
    <t>Offsite Backfill</t>
  </si>
  <si>
    <t>T5 High Bay -- Aisle Fixtures</t>
  </si>
  <si>
    <t>Dowel Baskets</t>
  </si>
  <si>
    <t>Guard House Island</t>
  </si>
  <si>
    <t>Exterior Light Poles -- 1000W</t>
  </si>
  <si>
    <t>Exterior Light Poles -- 400 W</t>
  </si>
  <si>
    <t>16" Fire Line</t>
  </si>
  <si>
    <t>Sidewalks @ Road</t>
  </si>
  <si>
    <t>Structural</t>
  </si>
  <si>
    <t>Architectural</t>
  </si>
  <si>
    <t>10" Fire Line</t>
  </si>
  <si>
    <t>12" Fire Line</t>
  </si>
  <si>
    <t>7" thick</t>
  </si>
  <si>
    <t>6' high</t>
  </si>
  <si>
    <t>Sectional Valves</t>
  </si>
  <si>
    <t>8+4</t>
  </si>
  <si>
    <t>Guard House Conduits</t>
  </si>
  <si>
    <t>Rodent Stripe</t>
  </si>
  <si>
    <t>Patio</t>
  </si>
  <si>
    <t>6" thick</t>
  </si>
  <si>
    <t>5" thick</t>
  </si>
  <si>
    <t>Metal Building Package</t>
  </si>
  <si>
    <t>Mezzanines</t>
  </si>
  <si>
    <t>HM Single Doors w/1/2 glass</t>
  </si>
  <si>
    <t>Stucco</t>
  </si>
  <si>
    <t>Fixtures</t>
  </si>
  <si>
    <t>8" Fire Line</t>
  </si>
  <si>
    <t>Operator</t>
  </si>
  <si>
    <t>Interior Fence</t>
  </si>
  <si>
    <t>Interior Fence Lid</t>
  </si>
  <si>
    <t>Interior Fence Gate</t>
  </si>
  <si>
    <t>Interior Fence Man Gate</t>
  </si>
  <si>
    <t>2 Tons</t>
  </si>
  <si>
    <t>Wall Packs --400W</t>
  </si>
  <si>
    <t>Computer Room Unit</t>
  </si>
  <si>
    <t>60A</t>
  </si>
  <si>
    <t>Storm Pipe</t>
  </si>
  <si>
    <t>Office</t>
  </si>
  <si>
    <t>Dock Levelers- Edge of Dock</t>
  </si>
  <si>
    <t>Fire Pump -- Diesel</t>
  </si>
  <si>
    <t>8" thick</t>
  </si>
  <si>
    <t>Dock Pit Frames</t>
  </si>
  <si>
    <t>Dock Channels</t>
  </si>
  <si>
    <t>Compressor</t>
  </si>
  <si>
    <t>Rail Ballast, Ties &amp; Track</t>
  </si>
  <si>
    <t>Rail Stop</t>
  </si>
  <si>
    <t>Rail Switch -- Private</t>
  </si>
  <si>
    <t>Rail Dock Doors</t>
  </si>
  <si>
    <t>Entry Canopies</t>
  </si>
  <si>
    <t>Outlets @ Dock Doors</t>
  </si>
  <si>
    <t>Lift Arm Gates</t>
  </si>
  <si>
    <t>Dock Canopy Footings</t>
  </si>
  <si>
    <t>Rail Switch &amp; Turnout -- Public</t>
  </si>
  <si>
    <t>Batch Plant Savings</t>
  </si>
  <si>
    <t>Roof Structure</t>
  </si>
  <si>
    <t>ALLOWANCE</t>
  </si>
  <si>
    <t>Bridge Cranes</t>
  </si>
  <si>
    <t>Equipment Pits</t>
  </si>
  <si>
    <t>Equipment Power</t>
  </si>
  <si>
    <t>Compressed Air System</t>
  </si>
  <si>
    <t>Piping</t>
  </si>
  <si>
    <t>Drops</t>
  </si>
  <si>
    <t>2'x2'</t>
  </si>
  <si>
    <t>2'x4'</t>
  </si>
  <si>
    <t>Rip Rock</t>
  </si>
  <si>
    <t>Blast Rock</t>
  </si>
  <si>
    <t>Trench Rock</t>
  </si>
  <si>
    <t>(14'x14')</t>
  </si>
  <si>
    <t>Oil/Water Separator</t>
  </si>
  <si>
    <t>Energy Management System</t>
  </si>
  <si>
    <t>UPS</t>
  </si>
  <si>
    <t>Roof Drains</t>
  </si>
  <si>
    <t>Overflow Drains</t>
  </si>
  <si>
    <t>Office Areas</t>
  </si>
  <si>
    <t>Fire Pump -- Electric</t>
  </si>
  <si>
    <t>Fire Water Storage Tank</t>
  </si>
  <si>
    <t>Ring Foundation</t>
  </si>
  <si>
    <t>Design Coordination</t>
  </si>
  <si>
    <t>Dryer</t>
  </si>
  <si>
    <t>Tank</t>
  </si>
  <si>
    <t>Entry Mats</t>
  </si>
  <si>
    <t>Lockers</t>
  </si>
  <si>
    <t>Benches</t>
  </si>
  <si>
    <t>Interior Signage</t>
  </si>
  <si>
    <t>Guard House</t>
  </si>
  <si>
    <t>Bike Rack</t>
  </si>
  <si>
    <t>18" CMP</t>
  </si>
  <si>
    <t>30" CMP</t>
  </si>
  <si>
    <t>36" CMP</t>
  </si>
  <si>
    <t>42" CMP</t>
  </si>
  <si>
    <t>48" CMP</t>
  </si>
  <si>
    <t>54" CMP</t>
  </si>
  <si>
    <t>60" CMP</t>
  </si>
  <si>
    <t>24" CMP</t>
  </si>
  <si>
    <t>18" RCP</t>
  </si>
  <si>
    <t>24" RCP</t>
  </si>
  <si>
    <t>30" RCP</t>
  </si>
  <si>
    <t>36" RCP</t>
  </si>
  <si>
    <t>42" RCP</t>
  </si>
  <si>
    <t>48" RCP</t>
  </si>
  <si>
    <t>54" RCP</t>
  </si>
  <si>
    <t>60" RCP</t>
  </si>
  <si>
    <t>66" RCP</t>
  </si>
  <si>
    <t>72" RCP</t>
  </si>
  <si>
    <t>Roof Deck -- gray</t>
  </si>
  <si>
    <t>Crane Columns</t>
  </si>
  <si>
    <t>Crane Rail Beams</t>
  </si>
  <si>
    <t>Crane Rail Columns &amp; Beams</t>
  </si>
  <si>
    <t>Curtainwall</t>
  </si>
  <si>
    <t>Carpet Tile</t>
  </si>
  <si>
    <t>SDT</t>
  </si>
  <si>
    <t>Sheet Vinyl</t>
  </si>
  <si>
    <t>Fabric Wallcovering</t>
  </si>
  <si>
    <t>Traction</t>
  </si>
  <si>
    <t>Chiller</t>
  </si>
  <si>
    <t>Pumps</t>
  </si>
  <si>
    <t>Buss Duct</t>
  </si>
  <si>
    <t>Door Contacts</t>
  </si>
  <si>
    <t>Electric Strike/Card Reader</t>
  </si>
  <si>
    <t>Cameras -- interior</t>
  </si>
  <si>
    <t>Cameras -- exterior</t>
  </si>
  <si>
    <t>Fiber Optic</t>
  </si>
  <si>
    <t>Cat 6 Wiring</t>
  </si>
  <si>
    <t>12-Strand</t>
  </si>
  <si>
    <t>6-Strand</t>
  </si>
  <si>
    <t>Cable Tray</t>
  </si>
  <si>
    <t>2 x 2 Parabolic</t>
  </si>
  <si>
    <t>Showers</t>
  </si>
  <si>
    <t>Appliances</t>
  </si>
  <si>
    <t>Girts</t>
  </si>
  <si>
    <t>Underfloor Insulation</t>
  </si>
  <si>
    <t>Rapid Roll Fabric Doors</t>
  </si>
  <si>
    <t>Coiling Doors</t>
  </si>
  <si>
    <t>Fire Doors</t>
  </si>
  <si>
    <t>Bi-Parting Doors</t>
  </si>
  <si>
    <t>HM Double Doors w/1/2 glass</t>
  </si>
  <si>
    <t>HM Single Doors w/Narrow Lite</t>
  </si>
  <si>
    <t>HM Double Doors w/Narrow Lite</t>
  </si>
  <si>
    <t>(3'x7')</t>
  </si>
  <si>
    <t>Starters</t>
  </si>
  <si>
    <t>Design/Build</t>
  </si>
  <si>
    <t>By Owner</t>
  </si>
  <si>
    <t>Textura</t>
  </si>
  <si>
    <t>Sub Bonds</t>
  </si>
  <si>
    <t>Details</t>
  </si>
  <si>
    <t>Work Description</t>
  </si>
  <si>
    <t>Dock Levelers- Hydraulic</t>
  </si>
  <si>
    <t>Interior Bulk Main</t>
  </si>
  <si>
    <t>HVLS Fans</t>
  </si>
  <si>
    <t>Main Disconnect &amp; Wiring Trough</t>
  </si>
  <si>
    <t>Single Head</t>
  </si>
  <si>
    <t>Double Head</t>
  </si>
  <si>
    <t>2 x 4 LED</t>
  </si>
  <si>
    <t>2 x 2 LED</t>
  </si>
  <si>
    <t>LED High Bay -- Aisle Fixtures</t>
  </si>
  <si>
    <t>72" CMP</t>
  </si>
  <si>
    <t>Fire Line Meter</t>
  </si>
  <si>
    <t>6" DIP</t>
  </si>
  <si>
    <t>8" DIP</t>
  </si>
  <si>
    <t>Force Main</t>
  </si>
  <si>
    <t>Dolly Pads</t>
  </si>
  <si>
    <t>WWF</t>
  </si>
  <si>
    <t>Power to Gates</t>
  </si>
  <si>
    <t>Communication Conduits to Gates</t>
  </si>
  <si>
    <t>Guardrail</t>
  </si>
  <si>
    <t>Retaining Walls</t>
  </si>
  <si>
    <t>Rail Subballast</t>
  </si>
  <si>
    <t>Roof Frames (Skylights)</t>
  </si>
  <si>
    <t>Roof Frames (HVAC Units)</t>
  </si>
  <si>
    <t>__ PSF Collateral Load Premium</t>
  </si>
  <si>
    <t>22 GA</t>
  </si>
  <si>
    <t>20 GA</t>
  </si>
  <si>
    <t>18 GA</t>
  </si>
  <si>
    <t>Mezzanine Stairs</t>
  </si>
  <si>
    <t>IMP Walls - horizontal</t>
  </si>
  <si>
    <t>IMP Ceilings</t>
  </si>
  <si>
    <t>IMP Walls - vertical</t>
  </si>
  <si>
    <t>Elevator Pit Waterproofing</t>
  </si>
  <si>
    <t>Set &amp; Flash Skylights</t>
  </si>
  <si>
    <t>Single-zone</t>
  </si>
  <si>
    <t>VAV</t>
  </si>
  <si>
    <t>Office Split Systems</t>
  </si>
  <si>
    <t>FRP</t>
  </si>
  <si>
    <t>ALTERNATES</t>
  </si>
  <si>
    <t>Reimbursables</t>
  </si>
  <si>
    <t>DOT Curb</t>
  </si>
  <si>
    <t>DOT Paving</t>
  </si>
  <si>
    <t>Mill &amp; Overlay</t>
  </si>
  <si>
    <t>4' high</t>
  </si>
  <si>
    <t>Reinforced Slope</t>
  </si>
  <si>
    <t>Rock-faced</t>
  </si>
  <si>
    <t>Grass-faced</t>
  </si>
  <si>
    <t>Sawcut Pavement Edge</t>
  </si>
  <si>
    <t>Traffic Control</t>
  </si>
  <si>
    <t>Jack &amp; Bore</t>
  </si>
  <si>
    <t>Bullnose Dock Canopy</t>
  </si>
  <si>
    <t>Stop/Go Lights</t>
  </si>
  <si>
    <t>Valved Tees</t>
  </si>
  <si>
    <t>Sliding Door</t>
  </si>
  <si>
    <t>Revolving Door</t>
  </si>
  <si>
    <t>Floor Insulation/VB/Slip Sheet</t>
  </si>
  <si>
    <t>Column Wraps</t>
  </si>
  <si>
    <t>Column Isolation Blocks</t>
  </si>
  <si>
    <t>Manual Night Doors</t>
  </si>
  <si>
    <t>High-Speed Doors</t>
  </si>
  <si>
    <t>SPECIAL CONSTRUCTION</t>
  </si>
  <si>
    <t>ELEVATORS</t>
  </si>
  <si>
    <t>Two directions</t>
  </si>
  <si>
    <t>One direction</t>
  </si>
  <si>
    <t>Rigid Insulation @ Tilt Walls</t>
  </si>
  <si>
    <t>Protection Board</t>
  </si>
  <si>
    <t>Sunshades</t>
  </si>
  <si>
    <t xml:space="preserve">Docks </t>
  </si>
  <si>
    <t>Non-Impact</t>
  </si>
  <si>
    <t>35000 # CAP.</t>
  </si>
  <si>
    <t>ESTIMATE RISK SUMMARY</t>
  </si>
  <si>
    <t>Lead Estimator Name</t>
  </si>
  <si>
    <t>Reviewing Estimator Name</t>
  </si>
  <si>
    <t># of Bids</t>
  </si>
  <si>
    <t>Mechanical</t>
  </si>
  <si>
    <t>Electrical</t>
  </si>
  <si>
    <t>Plumbing</t>
  </si>
  <si>
    <t>Signature</t>
  </si>
  <si>
    <t>Comment</t>
  </si>
  <si>
    <t>Cranes</t>
  </si>
  <si>
    <t>Mobilize</t>
  </si>
  <si>
    <t>Site Clearing-Chip and Haul</t>
  </si>
  <si>
    <t>Strip Topsoil &amp; Respread</t>
  </si>
  <si>
    <t xml:space="preserve">CY </t>
  </si>
  <si>
    <t xml:space="preserve">SY </t>
  </si>
  <si>
    <t>2" Domestic PVC</t>
  </si>
  <si>
    <t>Dock Bay</t>
  </si>
  <si>
    <t>Galvanized</t>
  </si>
  <si>
    <t xml:space="preserve">LS </t>
  </si>
  <si>
    <t>Glass &amp; Glazing</t>
  </si>
  <si>
    <t>Painting</t>
  </si>
  <si>
    <t>Pump Room steel</t>
  </si>
  <si>
    <t>$/SF</t>
  </si>
  <si>
    <t>Project</t>
  </si>
  <si>
    <t>Fee $/Month</t>
  </si>
  <si>
    <t>60 Mil</t>
  </si>
  <si>
    <t>Floor Boxes</t>
  </si>
  <si>
    <t>IDF Outlets</t>
  </si>
  <si>
    <t>Pin Roof Deck</t>
  </si>
  <si>
    <t>Profit</t>
  </si>
  <si>
    <t>Corporate Overhead</t>
  </si>
  <si>
    <t>Months</t>
  </si>
  <si>
    <t>REVIEWING ESTIMATOR</t>
  </si>
  <si>
    <t>Date:</t>
  </si>
  <si>
    <t>Project Name:</t>
  </si>
  <si>
    <t>Location:</t>
  </si>
  <si>
    <t>Building Size (SF):</t>
  </si>
  <si>
    <t>Size (Acres):</t>
  </si>
  <si>
    <t>Grand Total</t>
  </si>
  <si>
    <t>/BSF</t>
  </si>
  <si>
    <t>Pvg to Floor Ratio</t>
  </si>
  <si>
    <t>Wall to Floor Ratio</t>
  </si>
  <si>
    <t>MO</t>
  </si>
  <si>
    <t>CSI</t>
  </si>
  <si>
    <t>$/Unit</t>
  </si>
  <si>
    <t>Site GCs</t>
  </si>
  <si>
    <t>Building GCs</t>
  </si>
  <si>
    <t>Closeout GCs</t>
  </si>
  <si>
    <t>FP/Elec Room CMU</t>
  </si>
  <si>
    <t>Maintenance Area CMU</t>
  </si>
  <si>
    <t>Thin Stone</t>
  </si>
  <si>
    <t>PEMB</t>
  </si>
  <si>
    <t>FOUNDATIONS</t>
  </si>
  <si>
    <t>SLABS</t>
  </si>
  <si>
    <t>TILT WALL PANELS</t>
  </si>
  <si>
    <t>MISCELLANEOUS CONCRETE</t>
  </si>
  <si>
    <t>FLOOR COATINGS</t>
  </si>
  <si>
    <t>STRUCTURAL STEEL</t>
  </si>
  <si>
    <t>MISCELLANEOUS METALS</t>
  </si>
  <si>
    <t>MOBILIZATION</t>
  </si>
  <si>
    <t>FINAL CLEANING</t>
  </si>
  <si>
    <t>DEMOLITION</t>
  </si>
  <si>
    <t>EARTHWORK</t>
  </si>
  <si>
    <t>STORM SEWER</t>
  </si>
  <si>
    <t>FIRE WATER</t>
  </si>
  <si>
    <t>DOMESTIC WATER</t>
  </si>
  <si>
    <t>SANITARY SEWER</t>
  </si>
  <si>
    <t>STEEL ERECTION</t>
  </si>
  <si>
    <t>ROUGH CARPENTRY</t>
  </si>
  <si>
    <t>FINISH CARPENTRY</t>
  </si>
  <si>
    <t>WATER &amp; FIRE PROOFING</t>
  </si>
  <si>
    <t>ROOFING</t>
  </si>
  <si>
    <t>CAULKING &amp; SEALANTS</t>
  </si>
  <si>
    <t>EXTERIOR HM DOORS &amp; FRAMES</t>
  </si>
  <si>
    <t>INTERIOR DOORS &amp; FRAMES</t>
  </si>
  <si>
    <t>OVERHEAD DOORS</t>
  </si>
  <si>
    <t>LOADING DOCK EQUIPMENT</t>
  </si>
  <si>
    <t>CONVEYING SYSTEMS</t>
  </si>
  <si>
    <t>FIRE PROTECTION</t>
  </si>
  <si>
    <t>PLUMBING</t>
  </si>
  <si>
    <t>HVAC</t>
  </si>
  <si>
    <t>SERVICE &amp; DISTRIBUTION</t>
  </si>
  <si>
    <t>POWER &amp; DEVICES - WAREHOUSE</t>
  </si>
  <si>
    <t>EXTERIOR LIGHTING</t>
  </si>
  <si>
    <t>INTERIOR LIGHTING - WAREHOUSE</t>
  </si>
  <si>
    <t>POWER &amp; DEVICES - OFFICE</t>
  </si>
  <si>
    <t>INTERIOR LIGHTING - OFFICE</t>
  </si>
  <si>
    <t>MISCELLANEOUS</t>
  </si>
  <si>
    <t>INSURANCE</t>
  </si>
  <si>
    <t>General Liability Insurance</t>
  </si>
  <si>
    <t>OVERHEAD &amp; PROFIT</t>
  </si>
  <si>
    <t>PROJECT ADMIN</t>
  </si>
  <si>
    <t>SUB BONDS</t>
  </si>
  <si>
    <t>COMPUTER HARDWARE/SOFTWARE</t>
  </si>
  <si>
    <t>CONCRETE PAVING &amp; CURBS</t>
  </si>
  <si>
    <t>ASPHALT PAVING</t>
  </si>
  <si>
    <t>NATURAL GAS</t>
  </si>
  <si>
    <t>LANDSCAPING</t>
  </si>
  <si>
    <t>MISCELLANEOUS SITE IMPROVEMENTS</t>
  </si>
  <si>
    <t>OTHER PROJECT COSTS</t>
  </si>
  <si>
    <t>DESIGN &amp; TESTING</t>
  </si>
  <si>
    <t>PERMITS</t>
  </si>
  <si>
    <t>Bldg Footprint to Site Ratio</t>
  </si>
  <si>
    <t>Allowances</t>
  </si>
  <si>
    <t>ALLOWANCES</t>
  </si>
  <si>
    <t>PROJECT TOTAL</t>
  </si>
  <si>
    <t>FURNISHINGS</t>
  </si>
  <si>
    <t>Mini Blinds</t>
  </si>
  <si>
    <t>Manual Shades</t>
  </si>
  <si>
    <t>Motorized Shades</t>
  </si>
  <si>
    <t>FOODSERVICE STORAGE EQUIPMENT</t>
  </si>
  <si>
    <t>Walk-in Cooler/Freezer</t>
  </si>
  <si>
    <t>PEMB Erection</t>
  </si>
  <si>
    <t>IMP Install</t>
  </si>
  <si>
    <t>INSULATED METAL PANELS</t>
  </si>
  <si>
    <t>CANOPIES</t>
  </si>
  <si>
    <t>Data/Com System</t>
  </si>
  <si>
    <t>Site Work</t>
  </si>
  <si>
    <t>Cost</t>
  </si>
  <si>
    <t>Cost/SF</t>
  </si>
  <si>
    <t>Earthwork</t>
  </si>
  <si>
    <t>Site Utilities</t>
  </si>
  <si>
    <t>Misc. Site Improvements</t>
  </si>
  <si>
    <t>Subtotal - Site Work</t>
  </si>
  <si>
    <t>Building</t>
  </si>
  <si>
    <t>Foundations</t>
  </si>
  <si>
    <t>Concrete Slab</t>
  </si>
  <si>
    <t>Concrete Floor Sealer</t>
  </si>
  <si>
    <t>Concrete Tilt Walls</t>
  </si>
  <si>
    <t>Structural Steel &amp; Erection</t>
  </si>
  <si>
    <t>Misc. Metals</t>
  </si>
  <si>
    <t>Rough Carpentry</t>
  </si>
  <si>
    <t>Finish Carpentry</t>
  </si>
  <si>
    <t>Canopies</t>
  </si>
  <si>
    <t>Insulated Metal Wall Panels</t>
  </si>
  <si>
    <t>Misc. Concrete</t>
  </si>
  <si>
    <t>Sealants &amp; Caulking</t>
  </si>
  <si>
    <t>Doors, Frames &amp; Hardware</t>
  </si>
  <si>
    <t>Storefront, Glass &amp; Glazing</t>
  </si>
  <si>
    <t>Acoustical Ceilings</t>
  </si>
  <si>
    <t>Specialties</t>
  </si>
  <si>
    <t>Loading Dock Equipment</t>
  </si>
  <si>
    <t>Foodservice Equipment</t>
  </si>
  <si>
    <t>Furnishings</t>
  </si>
  <si>
    <t>Fire Alarm</t>
  </si>
  <si>
    <t>Security/Access Control Systems</t>
  </si>
  <si>
    <t>Data/Comm Systems</t>
  </si>
  <si>
    <t>Interior Lighting</t>
  </si>
  <si>
    <t>General Conditions &amp; Fees</t>
  </si>
  <si>
    <t>General Conditions</t>
  </si>
  <si>
    <t>Permits</t>
  </si>
  <si>
    <t>Overhead &amp; Profit</t>
  </si>
  <si>
    <t>Subtotal - Building</t>
  </si>
  <si>
    <t>Subtotal - Site &amp; Building</t>
  </si>
  <si>
    <t>Subtotal - GC's &amp; Fees</t>
  </si>
  <si>
    <t>Subtotal - Allowances</t>
  </si>
  <si>
    <t>1</t>
  </si>
  <si>
    <t>Alternate No. 1</t>
  </si>
  <si>
    <t>Allowance #2</t>
  </si>
  <si>
    <t>Allowance #3</t>
  </si>
  <si>
    <t>Allowance #4</t>
  </si>
  <si>
    <t>Allowance #5</t>
  </si>
  <si>
    <t>Allowance #6</t>
  </si>
  <si>
    <t>Allowance #7</t>
  </si>
  <si>
    <t>Allowance #8</t>
  </si>
  <si>
    <t>Allowance #9</t>
  </si>
  <si>
    <t>Allowance #10</t>
  </si>
  <si>
    <t>Allowance #11</t>
  </si>
  <si>
    <t>Allowance #12</t>
  </si>
  <si>
    <t>Elevators/Conveying Equipment</t>
  </si>
  <si>
    <t>DATA/COM</t>
  </si>
  <si>
    <t>SECURITY/ACCESS CONTROL</t>
  </si>
  <si>
    <t>FIRE ALARM</t>
  </si>
  <si>
    <t>Curb Cut</t>
  </si>
  <si>
    <t>Alternates</t>
  </si>
  <si>
    <t>FRAMING &amp; DRYWALL</t>
  </si>
  <si>
    <t>ACOUSTICAL CEILINGS</t>
  </si>
  <si>
    <t>FLOORING</t>
  </si>
  <si>
    <t>OFFICE PAINT</t>
  </si>
  <si>
    <t>WAREHOUSE EXTERIOR PAINT</t>
  </si>
  <si>
    <t>WAREHOUSE INTERIOR PAINT</t>
  </si>
  <si>
    <t>WINDOW TREATMENTS</t>
  </si>
  <si>
    <t>PLUMBING - WAREHOUSE</t>
  </si>
  <si>
    <t>PLUMBING - OFFICE</t>
  </si>
  <si>
    <t>HVAC - WAREHOUSE</t>
  </si>
  <si>
    <t>HVAC - OFFICE</t>
  </si>
  <si>
    <t>Fire Safing @ Floor</t>
  </si>
  <si>
    <t>Cooler Man doors</t>
  </si>
  <si>
    <t>Freezer Man doors</t>
  </si>
  <si>
    <t>Exit/Emergency Lights @ man doors</t>
  </si>
  <si>
    <t>Fluorescent Strip Lights</t>
  </si>
  <si>
    <t>Polished Concrete</t>
  </si>
  <si>
    <t>Curb Inlets</t>
  </si>
  <si>
    <t>Grate Inlets</t>
  </si>
  <si>
    <t>Junction Boxes</t>
  </si>
  <si>
    <t>Camera</t>
  </si>
  <si>
    <t>6" Fire Line</t>
  </si>
  <si>
    <t>FDC</t>
  </si>
  <si>
    <t>3" Domestic PVC</t>
  </si>
  <si>
    <t>Stop Signs</t>
  </si>
  <si>
    <t>Stop Bar Striping</t>
  </si>
  <si>
    <t>2nd Coat Striping</t>
  </si>
  <si>
    <t>Fire Lane Striping</t>
  </si>
  <si>
    <t>Man Gate</t>
  </si>
  <si>
    <t>Diamond Dowels</t>
  </si>
  <si>
    <t>Armored Joints</t>
  </si>
  <si>
    <t>Base &amp; Upper Cabinets</t>
  </si>
  <si>
    <t>PLAM Counter Tops</t>
  </si>
  <si>
    <t>PLAM Shelf</t>
  </si>
  <si>
    <t>Walk Pads</t>
  </si>
  <si>
    <t>Caulk Bottom of Panels at Slab</t>
  </si>
  <si>
    <t>Knox Box</t>
  </si>
  <si>
    <t>Bug/Security Screen Doors</t>
  </si>
  <si>
    <t>Storefront System</t>
  </si>
  <si>
    <t>Impact Rated</t>
  </si>
  <si>
    <t>Entry/Soffit Framing</t>
  </si>
  <si>
    <t>Engineered Shop Drawings</t>
  </si>
  <si>
    <t>Floor Protection</t>
  </si>
  <si>
    <t>Moisture Barrier/Crack Suppression Membrane</t>
  </si>
  <si>
    <t>LVT</t>
  </si>
  <si>
    <t>Dock Door Numbers</t>
  </si>
  <si>
    <t>Dock Pits</t>
  </si>
  <si>
    <t>Column Labels</t>
  </si>
  <si>
    <t>Coat Hook</t>
  </si>
  <si>
    <t>Freight</t>
  </si>
  <si>
    <t>FLR</t>
  </si>
  <si>
    <t>Operable Parition</t>
  </si>
  <si>
    <t>Operable Parition Steel</t>
  </si>
  <si>
    <t>Trench Drains</t>
  </si>
  <si>
    <t>Office Area Electrical</t>
  </si>
  <si>
    <t>Power for OH Door Operators</t>
  </si>
  <si>
    <t>Power for Dock Equipment</t>
  </si>
  <si>
    <t>OH&amp;P, INSURANCE, DESIGN, PERMITS</t>
  </si>
  <si>
    <t>CSI Code</t>
  </si>
  <si>
    <t>Scope of Work</t>
  </si>
  <si>
    <t>Category</t>
  </si>
  <si>
    <t>Comments</t>
  </si>
  <si>
    <t>01</t>
  </si>
  <si>
    <t>26</t>
  </si>
  <si>
    <t>28</t>
  </si>
  <si>
    <t>27</t>
  </si>
  <si>
    <t>23</t>
  </si>
  <si>
    <t>22</t>
  </si>
  <si>
    <t>21</t>
  </si>
  <si>
    <t>14</t>
  </si>
  <si>
    <t>13</t>
  </si>
  <si>
    <t>12</t>
  </si>
  <si>
    <t>11</t>
  </si>
  <si>
    <t>10</t>
  </si>
  <si>
    <t>09</t>
  </si>
  <si>
    <t>08</t>
  </si>
  <si>
    <t>07</t>
  </si>
  <si>
    <t>06</t>
  </si>
  <si>
    <t>05</t>
  </si>
  <si>
    <t>04</t>
  </si>
  <si>
    <t>03</t>
  </si>
  <si>
    <t>32</t>
  </si>
  <si>
    <t>33</t>
  </si>
  <si>
    <t>31</t>
  </si>
  <si>
    <t>02</t>
  </si>
  <si>
    <t>Building Stoops</t>
  </si>
  <si>
    <t>CORPORATE OVERHEAD &amp; PROFIT</t>
  </si>
  <si>
    <t>Project Name</t>
  </si>
  <si>
    <t>Yes</t>
  </si>
  <si>
    <t>Start Date</t>
  </si>
  <si>
    <t>No</t>
  </si>
  <si>
    <t>Project Length (mos)</t>
  </si>
  <si>
    <t>Personnel</t>
  </si>
  <si>
    <t>Needed</t>
  </si>
  <si>
    <t>%</t>
  </si>
  <si>
    <t>Monthly Rate</t>
  </si>
  <si>
    <t>Preconstruction</t>
  </si>
  <si>
    <t>Flat fee</t>
  </si>
  <si>
    <t>General Super</t>
  </si>
  <si>
    <t>Safety Manager</t>
  </si>
  <si>
    <t>Compliance</t>
  </si>
  <si>
    <t>Project Executive</t>
  </si>
  <si>
    <t>On-Site Safety</t>
  </si>
  <si>
    <t>Senior Project Manager</t>
  </si>
  <si>
    <t>Project Manager</t>
  </si>
  <si>
    <t>Senior Superintendent</t>
  </si>
  <si>
    <t>Superintendent</t>
  </si>
  <si>
    <t>Temporary Labor</t>
  </si>
  <si>
    <t>Field Clerk</t>
  </si>
  <si>
    <t>Project Coordinator</t>
  </si>
  <si>
    <t>Accounting</t>
  </si>
  <si>
    <t>Scheduling Consultant</t>
  </si>
  <si>
    <t>Costs</t>
  </si>
  <si>
    <t>Flat Cost</t>
  </si>
  <si>
    <t>Vehicle</t>
  </si>
  <si>
    <t>Fuel</t>
  </si>
  <si>
    <t>Phone</t>
  </si>
  <si>
    <t>Travel &amp; Per Diem</t>
  </si>
  <si>
    <t>Temporary Housing?</t>
  </si>
  <si>
    <t>Assistant Project Manager</t>
  </si>
  <si>
    <t>Assistant Superintendent</t>
  </si>
  <si>
    <t>Field Office Rental</t>
  </si>
  <si>
    <t xml:space="preserve">Field Office Setup </t>
  </si>
  <si>
    <t>Temporary Water Installation</t>
  </si>
  <si>
    <t xml:space="preserve">Temporary Water </t>
  </si>
  <si>
    <t>Temporary Toilets</t>
  </si>
  <si>
    <t>Temporary Power Installation</t>
  </si>
  <si>
    <t>Temporary Power</t>
  </si>
  <si>
    <t>Temporary Generator</t>
  </si>
  <si>
    <t>Security Fence</t>
  </si>
  <si>
    <t>lineal feet qty</t>
  </si>
  <si>
    <t>Job Signs</t>
  </si>
  <si>
    <t xml:space="preserve">Job Photos </t>
  </si>
  <si>
    <t xml:space="preserve">Office Supplies </t>
  </si>
  <si>
    <t xml:space="preserve">Printing </t>
  </si>
  <si>
    <t xml:space="preserve">Postage/ Courier </t>
  </si>
  <si>
    <t xml:space="preserve">Misc. Tools &amp; Equipment </t>
  </si>
  <si>
    <t>IT Costs</t>
  </si>
  <si>
    <t>Dumpster Pulls</t>
  </si>
  <si>
    <t>per month</t>
  </si>
  <si>
    <t>General Clean-up</t>
  </si>
  <si>
    <t>To hide rows,</t>
  </si>
  <si>
    <t>click on filter &amp;</t>
  </si>
  <si>
    <t>% of Month</t>
  </si>
  <si>
    <t># of Months</t>
  </si>
  <si>
    <t>Rate</t>
  </si>
  <si>
    <t>Burden Rate</t>
  </si>
  <si>
    <t>Adjustments</t>
  </si>
  <si>
    <t>Total</t>
  </si>
  <si>
    <t>uncheck "remove"</t>
  </si>
  <si>
    <t>keep</t>
  </si>
  <si>
    <t>Temporary Housing</t>
  </si>
  <si>
    <t>Total Personnel Costs</t>
  </si>
  <si>
    <t>Other Costs</t>
  </si>
  <si>
    <t># of People</t>
  </si>
  <si>
    <t>Project Rate</t>
  </si>
  <si>
    <t>Dumpster Pulls per Month</t>
  </si>
  <si>
    <t>Total Other Costs</t>
  </si>
  <si>
    <t>Position</t>
  </si>
  <si>
    <t>Avg Sal</t>
  </si>
  <si>
    <t>Hourly Rate</t>
  </si>
  <si>
    <t>New Rate</t>
  </si>
  <si>
    <t>Old Rate</t>
  </si>
  <si>
    <t>Old Salary</t>
  </si>
  <si>
    <t>Project Engineer</t>
  </si>
  <si>
    <t>General Superintendent</t>
  </si>
  <si>
    <t>IT Support Cost</t>
  </si>
  <si>
    <t>IT Salary X 2 to account for all expenses with half for corporate use and half for user support.  Divided by number of users, divided by 12</t>
  </si>
  <si>
    <t>Desktop Management software</t>
  </si>
  <si>
    <t>$55 per year, divided by 12 months</t>
  </si>
  <si>
    <t>Antivirus</t>
  </si>
  <si>
    <t>TrendMicro Worry Free Service for Business + DeepArmor</t>
  </si>
  <si>
    <t>Laptop</t>
  </si>
  <si>
    <t>$1500 divided by 36 months</t>
  </si>
  <si>
    <t>Microsoft Office 365</t>
  </si>
  <si>
    <t>Includes a portion of Project used by PMs, APMs, and PCs</t>
  </si>
  <si>
    <t>Mifi</t>
  </si>
  <si>
    <t>Vista Viewpoint</t>
  </si>
  <si>
    <t>Firewall</t>
  </si>
  <si>
    <t>1\2 of our $25,000py  Frirewall spending (1/2 corp burden) divided by 12 months, spread over 100 users</t>
  </si>
  <si>
    <t>Security Cost</t>
  </si>
  <si>
    <t>Penitration and hacking vulnerability testing per month spread over 100 users</t>
  </si>
  <si>
    <t>includes server upgrade and new cloud services</t>
  </si>
  <si>
    <t>MATERIAL HANDLING</t>
  </si>
  <si>
    <t>Clear Height</t>
  </si>
  <si>
    <t>Assistant Superintedent</t>
  </si>
  <si>
    <t>Senior PM</t>
  </si>
  <si>
    <t>Senior Super</t>
  </si>
  <si>
    <t>Bid Day Cuts</t>
  </si>
  <si>
    <t>Anticipated Buy Out</t>
  </si>
  <si>
    <t>Scope</t>
  </si>
  <si>
    <t>Savings</t>
  </si>
  <si>
    <t>Client</t>
  </si>
  <si>
    <t>Client:</t>
  </si>
  <si>
    <t>OH (LS)</t>
  </si>
  <si>
    <t>OH (%)</t>
  </si>
  <si>
    <t>Profit (LS)</t>
  </si>
  <si>
    <t>Profit (%)</t>
  </si>
  <si>
    <t>Project Duration</t>
  </si>
  <si>
    <t>Total Fee (LS)</t>
  </si>
  <si>
    <t>Total Fee (%)</t>
  </si>
  <si>
    <t>SUBTOTALS (LS)</t>
  </si>
  <si>
    <t>Description</t>
  </si>
  <si>
    <t>OH &amp; Profit</t>
  </si>
  <si>
    <t>Subcontractor Adjustment</t>
  </si>
  <si>
    <t>Bid Day Cut</t>
  </si>
  <si>
    <t>MEPF</t>
  </si>
  <si>
    <t>EROSION CONTROL</t>
  </si>
  <si>
    <t>Date</t>
  </si>
  <si>
    <t>SUBTOTALS (%)*</t>
  </si>
  <si>
    <t>* Does not include allowances</t>
  </si>
  <si>
    <t>Salary</t>
  </si>
  <si>
    <t>/Month</t>
  </si>
  <si>
    <t>SUMMARY</t>
  </si>
  <si>
    <t>ESTIMATE INFORMATION</t>
  </si>
  <si>
    <t>INPUT SHEET</t>
  </si>
  <si>
    <t>PROJECT INFORMATION</t>
  </si>
  <si>
    <t>Name</t>
  </si>
  <si>
    <t>Type</t>
  </si>
  <si>
    <t>Location</t>
  </si>
  <si>
    <t>Estimator</t>
  </si>
  <si>
    <t>Checked By</t>
  </si>
  <si>
    <t>New or Renovation</t>
  </si>
  <si>
    <t>Estimate Date</t>
  </si>
  <si>
    <t>Last Update</t>
  </si>
  <si>
    <t>Plans Dated</t>
  </si>
  <si>
    <t>Specs Dated</t>
  </si>
  <si>
    <t>SITE INFORMATION</t>
  </si>
  <si>
    <t>Site Size (Acres)</t>
  </si>
  <si>
    <t>SCHEDULE INFORMATION</t>
  </si>
  <si>
    <t>Site Duration</t>
  </si>
  <si>
    <t>Bldg Duration</t>
  </si>
  <si>
    <t>Close-out Duration</t>
  </si>
  <si>
    <t>BUILDING INFORMATION</t>
  </si>
  <si>
    <t>*Fill in Highlighted Cells*</t>
  </si>
  <si>
    <t>NOTES</t>
  </si>
  <si>
    <t>Building Length</t>
  </si>
  <si>
    <t>Building Depth</t>
  </si>
  <si>
    <t>Bldg Perimeter</t>
  </si>
  <si>
    <t>adjust LF as necessary to accurately capture total bldg perimeter LF</t>
  </si>
  <si>
    <t>Roof Area</t>
  </si>
  <si>
    <t>adjust SF as necessary to accurately capture total roof SF</t>
  </si>
  <si>
    <t>Office Mezzanine</t>
  </si>
  <si>
    <t>Manufacturing</t>
  </si>
  <si>
    <t>Maintenance</t>
  </si>
  <si>
    <t>Other</t>
  </si>
  <si>
    <t>Floor Areas</t>
  </si>
  <si>
    <t>Total Wall Area - Exterior</t>
  </si>
  <si>
    <t>Total Wall Area - Interior</t>
  </si>
  <si>
    <t>Average Panel Width</t>
  </si>
  <si>
    <t>Quantity of Bldg Entries</t>
  </si>
  <si>
    <t>Dock Configuration</t>
  </si>
  <si>
    <t>Dock Wall Length</t>
  </si>
  <si>
    <t>Cross Dock</t>
  </si>
  <si>
    <t>BUILDING CONCRETE</t>
  </si>
  <si>
    <t>Slabs</t>
  </si>
  <si>
    <t>Slab-on-Grade</t>
  </si>
  <si>
    <t>Slab-on-Grade Thickness</t>
  </si>
  <si>
    <t>None</t>
  </si>
  <si>
    <t>Select Slab-on-Grade Reinforcement</t>
  </si>
  <si>
    <t>Slab-on-Deck</t>
  </si>
  <si>
    <t>9x10 OH Doors - Non-Insulated</t>
  </si>
  <si>
    <t>9x10 OH Doors - Insulated</t>
  </si>
  <si>
    <t>Air Changes Per Hour</t>
  </si>
  <si>
    <t>Exposure/Risk</t>
  </si>
  <si>
    <t>% Spread Btwn Low Bids</t>
  </si>
  <si>
    <t>Construction Entrance</t>
  </si>
  <si>
    <t>Silt Fence - Install</t>
  </si>
  <si>
    <t>Silt Fence - Removal</t>
  </si>
  <si>
    <t>SWPPP Plan</t>
  </si>
  <si>
    <t>SWPPP Inspections</t>
  </si>
  <si>
    <t>Additional Rock</t>
  </si>
  <si>
    <t>Rock Check Dam</t>
  </si>
  <si>
    <t>Inlet Protection</t>
  </si>
  <si>
    <t>Street Maintenance</t>
  </si>
  <si>
    <t>WK</t>
  </si>
  <si>
    <t>MNTH</t>
  </si>
  <si>
    <t>Fine Grading - Building Pad</t>
  </si>
  <si>
    <t>Fine Grading - Paving Areas</t>
  </si>
  <si>
    <t>Fine Grading - Curb &amp; Gutter</t>
  </si>
  <si>
    <t>Backfill Curb &amp; Gutter</t>
  </si>
  <si>
    <t>Permanent Seeding</t>
  </si>
  <si>
    <t>Temp Seeding</t>
  </si>
  <si>
    <t>Fine Grading - Dolly Pads</t>
  </si>
  <si>
    <t>Fine Grading - Green Spaces</t>
  </si>
  <si>
    <t>Import Fill Material</t>
  </si>
  <si>
    <t>Export Excess Material</t>
  </si>
  <si>
    <t>Bldg Cap - Lime Stabilization</t>
  </si>
  <si>
    <t>Bldg Cap - Select Fill</t>
  </si>
  <si>
    <t>Bldg Cap - Stone</t>
  </si>
  <si>
    <t>Bldg Cap - Cement Stabilization</t>
  </si>
  <si>
    <t>Water &amp; Water Meter for Earthwork</t>
  </si>
  <si>
    <t>Strip Topsoil &amp; Haul Off</t>
  </si>
  <si>
    <t>Curb - 6"</t>
  </si>
  <si>
    <t>Curb - 12"</t>
  </si>
  <si>
    <t>Curb - 8"</t>
  </si>
  <si>
    <t>Transformer Pad</t>
  </si>
  <si>
    <t>Light Pole Bases</t>
  </si>
  <si>
    <t>Pavement Subgrade - Cement Stabilize</t>
  </si>
  <si>
    <t>Pavement Subgrade - Lime Stabilize</t>
  </si>
  <si>
    <t>Rebar</t>
  </si>
  <si>
    <t>Mass Grade Cut/Fill</t>
  </si>
  <si>
    <t>Building Pad - Moisture Condition</t>
  </si>
  <si>
    <t>for bldg pad MC</t>
  </si>
  <si>
    <t>Laydown/Trailer Yard incl Fabric &amp; Removal</t>
  </si>
  <si>
    <t>GLASS &amp; GLAZING</t>
  </si>
  <si>
    <t xml:space="preserve">Medium Duty Asphalt </t>
  </si>
  <si>
    <t>6+3</t>
  </si>
  <si>
    <t>Fiber</t>
  </si>
  <si>
    <t>Spread Footings</t>
  </si>
  <si>
    <t>Waste Factor</t>
  </si>
  <si>
    <t>PCT</t>
  </si>
  <si>
    <t>Bay Spacing - Width</t>
  </si>
  <si>
    <t>Bay Spacing - Depth</t>
  </si>
  <si>
    <t>Bay Spacing - Speed Bay Depth</t>
  </si>
  <si>
    <t>Width</t>
  </si>
  <si>
    <t>Depth</t>
  </si>
  <si>
    <t>Perimeter Continuous Footing</t>
  </si>
  <si>
    <t>Speed Bay(s)</t>
  </si>
  <si>
    <t>Interior Bays</t>
  </si>
  <si>
    <t>Speed Bays</t>
  </si>
  <si>
    <t>TOTAL BAYS</t>
  </si>
  <si>
    <t>Bays &amp; Columns the Depth of Bldg</t>
  </si>
  <si>
    <t>TOTALS</t>
  </si>
  <si>
    <t>BAYS</t>
  </si>
  <si>
    <t>COLUMNS</t>
  </si>
  <si>
    <t>18"</t>
  </si>
  <si>
    <t>24"</t>
  </si>
  <si>
    <t>30"</t>
  </si>
  <si>
    <t>36"</t>
  </si>
  <si>
    <t>Pier Casing</t>
  </si>
  <si>
    <t>ACIP Piles</t>
  </si>
  <si>
    <t>Pier Caps - Overdrilled</t>
  </si>
  <si>
    <t>24"/48"</t>
  </si>
  <si>
    <t>30"/60"</t>
  </si>
  <si>
    <t>36"/72"</t>
  </si>
  <si>
    <t>Drilled Pier - Straight Shaft</t>
  </si>
  <si>
    <t>Drilled Pier - Belled</t>
  </si>
  <si>
    <t>Box Culvert</t>
  </si>
  <si>
    <t>Headwalls</t>
  </si>
  <si>
    <t>Outfall Structure</t>
  </si>
  <si>
    <t>Spoil Haul-Off</t>
  </si>
  <si>
    <t>4" PVC</t>
  </si>
  <si>
    <t>Backflow Preventer - Domestic Water</t>
  </si>
  <si>
    <t>Backflow Preventer - Irrigation</t>
  </si>
  <si>
    <t>FENCING</t>
  </si>
  <si>
    <t>RETAINING WALLS</t>
  </si>
  <si>
    <t>Fencing</t>
  </si>
  <si>
    <t>Gas Main - 2"</t>
  </si>
  <si>
    <t>Gas Main - 3"</t>
  </si>
  <si>
    <t>Gas Main - 4"</t>
  </si>
  <si>
    <t>Chain Link Fencing - 6'</t>
  </si>
  <si>
    <t>Chain Link Fencing - 4'</t>
  </si>
  <si>
    <t>Chain Link Fencing w/Black Vinyl Coating</t>
  </si>
  <si>
    <t>Swinging Road Gate - Manual</t>
  </si>
  <si>
    <t>Swinging Road Gate - Motor Operated</t>
  </si>
  <si>
    <t>Sliding Gate - Motor Operated</t>
  </si>
  <si>
    <t>Concrete Retaining Wall</t>
  </si>
  <si>
    <t>Global Stability Analysis</t>
  </si>
  <si>
    <t>Modular Retaining Wall</t>
  </si>
  <si>
    <t>Engineering/Layout</t>
  </si>
  <si>
    <t>Fire Water</t>
  </si>
  <si>
    <t>Sanitary Sewer</t>
  </si>
  <si>
    <t>Site Concrete</t>
  </si>
  <si>
    <t>Domestic Water</t>
  </si>
  <si>
    <t>Interior Storefront</t>
  </si>
  <si>
    <t>Tilt Wall</t>
  </si>
  <si>
    <t>Panel Area</t>
  </si>
  <si>
    <t>Pump/Electrical Room Tilt Panel Area</t>
  </si>
  <si>
    <t>Casting Beds</t>
  </si>
  <si>
    <t>Form Liner</t>
  </si>
  <si>
    <t>Deadmen (left in place)</t>
  </si>
  <si>
    <t>Deadmen (demo &amp; remove</t>
  </si>
  <si>
    <t>Included</t>
  </si>
  <si>
    <t>Brick</t>
  </si>
  <si>
    <t>Roof Structure lbs/SF</t>
  </si>
  <si>
    <t>lbs/SF</t>
  </si>
  <si>
    <t>STEEL</t>
  </si>
  <si>
    <t>Roof Access Ladder</t>
  </si>
  <si>
    <t>Roof Ladder w/Cage &amp; Landing</t>
  </si>
  <si>
    <t>Roof Ladder from Pump Room</t>
  </si>
  <si>
    <t>JOISTS &amp; DECKING</t>
  </si>
  <si>
    <t>Joists &amp; Girders lbs/SF</t>
  </si>
  <si>
    <t>Decking Gauge</t>
  </si>
  <si>
    <t>GA</t>
  </si>
  <si>
    <t>Roof Perimeter Blocking</t>
  </si>
  <si>
    <t>Solid Surface Counter Tops</t>
  </si>
  <si>
    <t>Solid Surface Vanities</t>
  </si>
  <si>
    <t>Pinweld Insulation at Roof</t>
  </si>
  <si>
    <t>R-19 Vinyl Faced Roof Insulation (furnish only)</t>
  </si>
  <si>
    <t>R-13 Vinyl Faced Wall Insulation (furnish only)</t>
  </si>
  <si>
    <t>PEMB Application</t>
  </si>
  <si>
    <t>Area Application</t>
  </si>
  <si>
    <t>LF Application</t>
  </si>
  <si>
    <t>Fluid Applied Air/Moisture Barrier</t>
  </si>
  <si>
    <t>45 mil TPO Mech Fastened</t>
  </si>
  <si>
    <t>60 mil TPO Mech Fastened</t>
  </si>
  <si>
    <t>45 mil TPO Fully Adhered</t>
  </si>
  <si>
    <t>60 mil TPO Fully Adhered</t>
  </si>
  <si>
    <t>R-9 Rigid Roof Insulation</t>
  </si>
  <si>
    <t>R-15 Rigid Roof Insulation</t>
  </si>
  <si>
    <t>R-20 Rigid Roof Insulation</t>
  </si>
  <si>
    <t>R-25 Rigid Roof Insulation</t>
  </si>
  <si>
    <t>R-30 Rigid Roof Insulation</t>
  </si>
  <si>
    <t>Caulk Floor Joints</t>
  </si>
  <si>
    <t>Exterior Hollow Metal Doors</t>
  </si>
  <si>
    <t>12x14 OH Doors - Non-Insulated</t>
  </si>
  <si>
    <t>12x14 OH Doors - Insulated</t>
  </si>
  <si>
    <t>Demising Wall - Non-Insulated</t>
  </si>
  <si>
    <t>Demising Wall - Insulated</t>
  </si>
  <si>
    <t>Above-Ceiling Insulation</t>
  </si>
  <si>
    <t>Office Walls</t>
  </si>
  <si>
    <t>Paint Demising Wall</t>
  </si>
  <si>
    <t>Rubber/Vinyl Base</t>
  </si>
  <si>
    <t>Grab Bars</t>
  </si>
  <si>
    <t>Napkin Disposal</t>
  </si>
  <si>
    <t>Napkin Dispenser</t>
  </si>
  <si>
    <t>Soap Dispenser</t>
  </si>
  <si>
    <t>TP Dispenser</t>
  </si>
  <si>
    <t>Towel Dispenser/Disposal</t>
  </si>
  <si>
    <t>Toilet Partitions - PLAM</t>
  </si>
  <si>
    <t>Toilet Partitions - Stainless Steel</t>
  </si>
  <si>
    <t>Urinal Screens - Stainless Steel</t>
  </si>
  <si>
    <t>Urinal Screens - PLAM</t>
  </si>
  <si>
    <t>Fire Extinguishers - Surface Mounted</t>
  </si>
  <si>
    <t>Fire Extinguishers w/Cabinet</t>
  </si>
  <si>
    <t>Flagpole</t>
  </si>
  <si>
    <t>Dock Levelers - Air Bag</t>
  </si>
  <si>
    <t>Dock Locks - Manual</t>
  </si>
  <si>
    <t>Dock Locks - Semi-Automatic</t>
  </si>
  <si>
    <t>Dock Locks - Automatic</t>
  </si>
  <si>
    <t>Dock Equipment Controller</t>
  </si>
  <si>
    <t>3' Guard Rail Section</t>
  </si>
  <si>
    <t>5' Guard Rail Section</t>
  </si>
  <si>
    <t>ESFR System</t>
  </si>
  <si>
    <t>Qualify Type (i.e. K-17, K-22, etc.)</t>
  </si>
  <si>
    <t>Electric</t>
  </si>
  <si>
    <t>Above Ground Storage Tank</t>
  </si>
  <si>
    <t>Pre-Fab Pump House</t>
  </si>
  <si>
    <t>Fire Protection System - Office</t>
  </si>
  <si>
    <t>Fire Pump Type</t>
  </si>
  <si>
    <t>Gas Piping</t>
  </si>
  <si>
    <t>Gas Piping - Welded</t>
  </si>
  <si>
    <t>Exhaust Fans - 45,000 CFM</t>
  </si>
  <si>
    <t>Exhuast Fan CFM</t>
  </si>
  <si>
    <t>CFM</t>
  </si>
  <si>
    <t>BTU</t>
  </si>
  <si>
    <t>MAU/Heater BTUs</t>
  </si>
  <si>
    <t>Equipment Startup</t>
  </si>
  <si>
    <t>AC/HR</t>
  </si>
  <si>
    <t>Assumes Freeze Protection Only</t>
  </si>
  <si>
    <t>Service Size</t>
  </si>
  <si>
    <t>House Panel</t>
  </si>
  <si>
    <t>Amps</t>
  </si>
  <si>
    <t>Warehouse Foot Candles</t>
  </si>
  <si>
    <t>Irrigation Controller Power</t>
  </si>
  <si>
    <t>Warehouse Lighting Type</t>
  </si>
  <si>
    <t>LED</t>
  </si>
  <si>
    <t>In Allowances</t>
  </si>
  <si>
    <t>Warehouse Conveniance Outlets</t>
  </si>
  <si>
    <t>Outlets at Dock Doors</t>
  </si>
  <si>
    <t>select from drop down</t>
  </si>
  <si>
    <t>Bays &amp; Columns the Length of Bldg</t>
  </si>
  <si>
    <t>ESTIMATE CHECK FORMULAS ENTERED BELOW IN THESE COLUMNS</t>
  </si>
  <si>
    <t>Sub Bid</t>
  </si>
  <si>
    <t>INC</t>
  </si>
  <si>
    <t>SUB QUOTE</t>
  </si>
  <si>
    <t>BUDGET</t>
  </si>
  <si>
    <t>STRIPING &amp; SIGNAGE</t>
  </si>
  <si>
    <t>Pavement Markings</t>
  </si>
  <si>
    <t>estimate checks</t>
  </si>
  <si>
    <t>Envelope Consultant</t>
  </si>
  <si>
    <t>Filter</t>
  </si>
  <si>
    <t>x</t>
  </si>
  <si>
    <t>Stair Tower - Setup</t>
  </si>
  <si>
    <t>Stair Tower - Rental</t>
  </si>
  <si>
    <t>Sub Bid - EARTHWORK</t>
  </si>
  <si>
    <t>Sub Bid - STONE BASE</t>
  </si>
  <si>
    <t xml:space="preserve">Concrete Pavement - Stone Base </t>
  </si>
  <si>
    <t>15" RCP</t>
  </si>
  <si>
    <t>21" RCP</t>
  </si>
  <si>
    <t>6-8" ballast</t>
  </si>
  <si>
    <t>Dock Equipment Controller Mount</t>
  </si>
  <si>
    <t>Shear Studs - (1) per 5 SF</t>
  </si>
  <si>
    <t>Mezz Steel 10#/SF</t>
  </si>
  <si>
    <t>PROJECT NAME</t>
  </si>
  <si>
    <t>LOCATION</t>
  </si>
  <si>
    <t>VOLUME</t>
  </si>
  <si>
    <t>FEE</t>
  </si>
  <si>
    <t>FEE ON ALLOWANCES</t>
  </si>
  <si>
    <t>TOTAL FEE</t>
  </si>
  <si>
    <t>FEE %</t>
  </si>
  <si>
    <t>BID DAY BUYOUT</t>
  </si>
  <si>
    <t>FEE + 1/2 BUYOUT</t>
  </si>
  <si>
    <t>FEE + BUYOUT</t>
  </si>
  <si>
    <t>PROJECTED START</t>
  </si>
  <si>
    <t>Projected Start Date</t>
  </si>
  <si>
    <t>Layout for C&amp;G if separate from Site Contractor</t>
  </si>
  <si>
    <t>Gutter to Roof Drain Transitions</t>
  </si>
  <si>
    <t>Cntrl Est Line Item Total</t>
  </si>
  <si>
    <t>Spread Footings - Total CY</t>
  </si>
  <si>
    <t>Total CY from Takeoff</t>
  </si>
  <si>
    <t>5x5x</t>
  </si>
  <si>
    <t>6x6x</t>
  </si>
  <si>
    <t>7x7x</t>
  </si>
  <si>
    <t>8x8x</t>
  </si>
  <si>
    <t>9x9x</t>
  </si>
  <si>
    <t>10x10x</t>
  </si>
  <si>
    <t>11x11x</t>
  </si>
  <si>
    <t>12x12x</t>
  </si>
  <si>
    <t>Insulated Precast Panels</t>
  </si>
  <si>
    <t>Seismic Bracing</t>
  </si>
  <si>
    <t>Mezzanine Steel</t>
  </si>
  <si>
    <t>Low Voltage Connections - OH Doors</t>
  </si>
  <si>
    <t>Low Voltage Connections - Dock Equipment</t>
  </si>
  <si>
    <t>without waste factor</t>
  </si>
  <si>
    <t>lbs Dead Load</t>
  </si>
  <si>
    <t>Bay Width</t>
  </si>
  <si>
    <t>Bay Depth</t>
  </si>
  <si>
    <t>Bearing Capacity of Soil</t>
  </si>
  <si>
    <t>Approximate Footing Size (feet)</t>
  </si>
  <si>
    <t>Caulk between slab and columns</t>
  </si>
  <si>
    <t>PRECON BUDGET</t>
  </si>
  <si>
    <t>GC's</t>
  </si>
  <si>
    <t>Design Coord.</t>
  </si>
  <si>
    <t>TOTAL</t>
  </si>
  <si>
    <t>Building Address Adhesive Numbers</t>
  </si>
  <si>
    <t>/ACRE</t>
  </si>
  <si>
    <t>Interior Striping - shot blast, epoxy paint, clear epoxy top coat</t>
  </si>
  <si>
    <t>Interior Striping - acrylic paint w/clear top coat</t>
  </si>
  <si>
    <t>Interior Striping - shot blast, acrylic paint, clear top coat</t>
  </si>
  <si>
    <t>Joists &amp; Decking</t>
  </si>
  <si>
    <t>IT COSTS</t>
  </si>
  <si>
    <t>STAFFING RATES</t>
  </si>
  <si>
    <t>GCs INPUT</t>
  </si>
  <si>
    <r>
      <t xml:space="preserve">Fee Breakdown if </t>
    </r>
    <r>
      <rPr>
        <b/>
        <u/>
        <sz val="18"/>
        <color theme="1"/>
        <rFont val="Calibri"/>
        <family val="2"/>
        <scheme val="minor"/>
      </rPr>
      <t>ALL</t>
    </r>
    <r>
      <rPr>
        <b/>
        <sz val="18"/>
        <color theme="1"/>
        <rFont val="Calibri"/>
        <family val="2"/>
        <scheme val="minor"/>
      </rPr>
      <t xml:space="preserve"> Exposure/Risk is Mitigated</t>
    </r>
  </si>
  <si>
    <r>
      <t xml:space="preserve">Fee Breakdown if </t>
    </r>
    <r>
      <rPr>
        <b/>
        <u/>
        <sz val="18"/>
        <color theme="1"/>
        <rFont val="Calibri"/>
        <family val="2"/>
        <scheme val="minor"/>
      </rPr>
      <t>NO</t>
    </r>
    <r>
      <rPr>
        <b/>
        <sz val="18"/>
        <color theme="1"/>
        <rFont val="Calibri"/>
        <family val="2"/>
        <scheme val="minor"/>
      </rPr>
      <t xml:space="preserve"> Exposure/Risk is Mitigated</t>
    </r>
  </si>
  <si>
    <t>Nitrogen Generators</t>
  </si>
  <si>
    <t>Cooler/Freezer Pre-Action System</t>
  </si>
  <si>
    <t>Hose Drops</t>
  </si>
  <si>
    <t>Pre-Action System for IT/MDF Room</t>
  </si>
  <si>
    <t>Exterior Dry System</t>
  </si>
  <si>
    <t>Fire Alarm - Warehouse</t>
  </si>
  <si>
    <t>Fire Alarm - Office</t>
  </si>
  <si>
    <t>Site</t>
  </si>
  <si>
    <t>GC's and Fees</t>
  </si>
  <si>
    <t>Web Cam</t>
  </si>
  <si>
    <t>01 00 00</t>
  </si>
  <si>
    <t>02 40 00</t>
  </si>
  <si>
    <t>31 00 00</t>
  </si>
  <si>
    <t>32 13 13</t>
  </si>
  <si>
    <t>33 40 00</t>
  </si>
  <si>
    <t>31 25 00</t>
  </si>
  <si>
    <t>33 10 00</t>
  </si>
  <si>
    <t>33 30 00</t>
  </si>
  <si>
    <t>32 12 00</t>
  </si>
  <si>
    <t>32 17 00</t>
  </si>
  <si>
    <t>33 50 00</t>
  </si>
  <si>
    <t>32 90 00</t>
  </si>
  <si>
    <t>32 31 00</t>
  </si>
  <si>
    <t>32 32 00</t>
  </si>
  <si>
    <t>32 30 00</t>
  </si>
  <si>
    <t>03 30 00</t>
  </si>
  <si>
    <t>09 33 00</t>
  </si>
  <si>
    <t>03 47 00</t>
  </si>
  <si>
    <t>03 48 00</t>
  </si>
  <si>
    <t>04 00 00</t>
  </si>
  <si>
    <t>05 10 00</t>
  </si>
  <si>
    <t>05 50 00</t>
  </si>
  <si>
    <t>05 30 00</t>
  </si>
  <si>
    <t>06 10 00</t>
  </si>
  <si>
    <t>06 20 00</t>
  </si>
  <si>
    <t>07 00 00</t>
  </si>
  <si>
    <t>07 40 00</t>
  </si>
  <si>
    <t>07 42 00</t>
  </si>
  <si>
    <t>07 50 00</t>
  </si>
  <si>
    <t>07 92 00</t>
  </si>
  <si>
    <t>08 00 00</t>
  </si>
  <si>
    <t>08 30 00</t>
  </si>
  <si>
    <t>08 40 00</t>
  </si>
  <si>
    <t>09 20 00</t>
  </si>
  <si>
    <t>09 51 00</t>
  </si>
  <si>
    <t>09 60 00</t>
  </si>
  <si>
    <t>09 90 00</t>
  </si>
  <si>
    <t>10 00 00</t>
  </si>
  <si>
    <t>11 13 00</t>
  </si>
  <si>
    <t>11 41 00</t>
  </si>
  <si>
    <t>12 20 00</t>
  </si>
  <si>
    <t>13 12 00</t>
  </si>
  <si>
    <t>14 20 00</t>
  </si>
  <si>
    <t>14 50 00</t>
  </si>
  <si>
    <t>21 00 00</t>
  </si>
  <si>
    <t>22 00 00</t>
  </si>
  <si>
    <t>23 00 00</t>
  </si>
  <si>
    <t>26 00 00</t>
  </si>
  <si>
    <t>26 56 00</t>
  </si>
  <si>
    <t>26 51 00</t>
  </si>
  <si>
    <t>27 00 00</t>
  </si>
  <si>
    <t>28 00 00</t>
  </si>
  <si>
    <t>28 46 00</t>
  </si>
  <si>
    <t>01 20 00</t>
  </si>
  <si>
    <t>Misc Site Improvements</t>
  </si>
  <si>
    <t>Structural &amp; Misc Steel / Erection</t>
  </si>
  <si>
    <t>Water &amp; Fireproofiong</t>
  </si>
  <si>
    <t>Metal Panels &amp; Canopies</t>
  </si>
  <si>
    <t>Caulking</t>
  </si>
  <si>
    <t>Dock Equipment / Food Service Equip</t>
  </si>
  <si>
    <t>Framing / Drywall / Furnishings</t>
  </si>
  <si>
    <t>Elevators / Cranes</t>
  </si>
  <si>
    <t>MUA BTU Drop Down</t>
  </si>
  <si>
    <t>CFM Drop Down</t>
  </si>
  <si>
    <t>Warehouse Fill Factor</t>
  </si>
  <si>
    <t>Warehouse Fixture Lumens</t>
  </si>
  <si>
    <t>Lighting Table</t>
  </si>
  <si>
    <t>Lumen Output</t>
  </si>
  <si>
    <t>32 00 00</t>
  </si>
  <si>
    <t>05 00 00</t>
  </si>
  <si>
    <t>11 30 00</t>
  </si>
  <si>
    <t>12 00 00</t>
  </si>
  <si>
    <t>14 00 00</t>
  </si>
  <si>
    <t>Subcontractor Name</t>
  </si>
  <si>
    <t>Bid Form Mapping</t>
  </si>
  <si>
    <t>https://www.visual-3d.com/tools/interior/</t>
  </si>
  <si>
    <t>Warehouse Fixture Count (Open Floor Plan)</t>
  </si>
  <si>
    <r>
      <t>Light Fixture - IBG</t>
    </r>
    <r>
      <rPr>
        <sz val="10"/>
        <color rgb="FFFF0000"/>
        <rFont val="Calibri"/>
        <family val="2"/>
        <scheme val="minor"/>
      </rPr>
      <t>XX</t>
    </r>
    <r>
      <rPr>
        <sz val="10"/>
        <rFont val="Calibri"/>
        <family val="2"/>
        <scheme val="minor"/>
      </rPr>
      <t>000LM SEF L/Lens GND 50K 80CRI</t>
    </r>
  </si>
  <si>
    <t>https://lithonia.acuitybrands.com/products/detail/593818/lithonia-lighting/ibg-high-bay/i-beamr-ibg-configurable-led-high-bay</t>
  </si>
  <si>
    <t>Amperage Calculation</t>
  </si>
  <si>
    <t>Input Fill Factor Assumption</t>
  </si>
  <si>
    <t>Percent</t>
  </si>
  <si>
    <t>Clarifications</t>
  </si>
  <si>
    <t>Estimate is based on the following:</t>
  </si>
  <si>
    <t>a.</t>
  </si>
  <si>
    <t>b.</t>
  </si>
  <si>
    <t>c.</t>
  </si>
  <si>
    <t>Plans prepared by XX dated XX</t>
  </si>
  <si>
    <t>Specifications prepared by XX dated XX</t>
  </si>
  <si>
    <t>Geotechnical Report prepared by XX dated XX</t>
  </si>
  <si>
    <t>month construction schedule.</t>
  </si>
  <si>
    <t xml:space="preserve">Civil - </t>
  </si>
  <si>
    <t xml:space="preserve">Structural - </t>
  </si>
  <si>
    <t xml:space="preserve">Architectural - </t>
  </si>
  <si>
    <t>MEP/F - Design Build</t>
  </si>
  <si>
    <t xml:space="preserve">Pricing is based on a </t>
  </si>
  <si>
    <t>Pricing is good for thirty (30) days.</t>
  </si>
  <si>
    <t>Design is included/excluded (move to exclusions if excluded).</t>
  </si>
  <si>
    <t>GENERAL</t>
  </si>
  <si>
    <t>Builders Risk Insurance is included/excluded/</t>
  </si>
  <si>
    <t>Test</t>
  </si>
  <si>
    <t>Test 1</t>
  </si>
  <si>
    <t>Landscaping &amp; Irrigation</t>
  </si>
  <si>
    <t>Concrete Pole Bases</t>
  </si>
  <si>
    <t>Ordinary Hazard System</t>
  </si>
  <si>
    <t>__ GAL</t>
  </si>
  <si>
    <t>Interior Sanitary Sewer</t>
  </si>
  <si>
    <t>BMS Controls</t>
  </si>
  <si>
    <t>__ Amps</t>
  </si>
  <si>
    <t>Generator Connection Cabinet</t>
  </si>
  <si>
    <t>Packaged RTUs</t>
  </si>
  <si>
    <t>Peimeter Furring</t>
  </si>
  <si>
    <t>Roll Carpet</t>
  </si>
  <si>
    <t>Dry Storage</t>
  </si>
  <si>
    <t>Refrigerated</t>
  </si>
  <si>
    <t>Vinyl Faced Insulation @ Tilt Walls</t>
  </si>
  <si>
    <t>Tilt Panel Qty Factor - Clear Height + "x" Ft.</t>
  </si>
  <si>
    <t>Vent is to clear hght only</t>
  </si>
  <si>
    <t>6"</t>
  </si>
  <si>
    <t>4"</t>
  </si>
  <si>
    <t>Fire Pump Room/Connection</t>
  </si>
  <si>
    <t>Includes LED Light</t>
  </si>
  <si>
    <t>LED Electrical Room Lighting</t>
  </si>
  <si>
    <t>2 Lights</t>
  </si>
  <si>
    <t>Adjusted 10/8/21 per Lee</t>
  </si>
  <si>
    <t xml:space="preserve"> </t>
  </si>
  <si>
    <t>Concrete</t>
  </si>
  <si>
    <t>ADD EQUIPMENT RENTAL TO EARTHWORK</t>
  </si>
  <si>
    <t>ADD TRAILER PORCH TO ROUGH CARPENTRY</t>
  </si>
  <si>
    <t>REVISE CLOSEOUT TO 1 MONTH</t>
  </si>
  <si>
    <t>MANUAL PLUG</t>
  </si>
  <si>
    <t>DELETE</t>
  </si>
  <si>
    <t>ADD SUB CARRIED</t>
  </si>
  <si>
    <t>TOTAL ANTICIPATED BUYOUT</t>
  </si>
  <si>
    <t>COMBINE OH &amp; PROFIT CELLS/AMOUNTS/%</t>
  </si>
  <si>
    <t>Sheet Name</t>
  </si>
  <si>
    <t>Purpose</t>
  </si>
  <si>
    <t>Instructions</t>
  </si>
  <si>
    <t>Project Info Input</t>
  </si>
  <si>
    <t>Input basic project details like client name, project name, and location.</t>
  </si>
  <si>
    <t>Enter required project information in the highlighted fields.</t>
  </si>
  <si>
    <t>Budget Summary</t>
  </si>
  <si>
    <t>Summarizes the project's total budget after inputs.</t>
  </si>
  <si>
    <t>Review after filling out the 'Estimate' and 'GCs Input' sheets to check the overall budget.</t>
  </si>
  <si>
    <t>Estimate</t>
  </si>
  <si>
    <t>Breaks down detailed estimate of project including materials, labor, etc.</t>
  </si>
  <si>
    <t>Input quantities, unit prices, and descriptions of materials and labor.</t>
  </si>
  <si>
    <t>Notes or clarifications about the estimate assumptions or conditions.</t>
  </si>
  <si>
    <t>Add clarifying notes to explain the scope and boundaries of the estimate.</t>
  </si>
  <si>
    <t>GCs Input, Staff &amp; IT Costs</t>
  </si>
  <si>
    <t>Input for general conditions, staff salaries, and IT expenses related to the project.</t>
  </si>
  <si>
    <t>Enter salaries, overheads, and other related general condition costs.</t>
  </si>
  <si>
    <t>Tracks general costs like overhead and site costs.</t>
  </si>
  <si>
    <t>Verify automatic calculations from the 'GCs Input' sheet.</t>
  </si>
  <si>
    <t>Estimate Risk Summary</t>
  </si>
  <si>
    <t>Summarizes risks that could impact the estimate.</t>
  </si>
  <si>
    <t>Document risks that might affect the budget or timeline.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</si>
</sst>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.0%"/>
    <numFmt numFmtId="167" formatCode="#,##0.0"/>
    <numFmt numFmtId="168" formatCode="_(* #,##0_);_(* \(#,##0\);_(* &quot;-&quot;??_);_(@_)"/>
    <numFmt numFmtId="169" formatCode="0.00000%"/>
    <numFmt numFmtId="170" formatCode="_(&quot;$&quot;* #,##0_);_(&quot;$&quot;* \(#,##0\);_(&quot;$&quot;* &quot;-&quot;??_);_(@_)"/>
    <numFmt numFmtId="171" formatCode="0.0000000000%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0"/>
      <name val="Calibri"/>
      <family val="2"/>
      <scheme val="minor"/>
    </font>
    <font>
      <sz val="8"/>
      <color rgb="FF000000"/>
      <name val="Segoe UI"/>
      <family val="2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36"/>
      <color theme="1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name val="Arial"/>
      <family val="2"/>
    </font>
    <font>
      <b/>
      <i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2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43" fontId="13" fillId="0" borderId="0" applyFont="0" applyFill="0" applyBorder="0" applyAlignment="0" applyProtection="0"/>
    <xf numFmtId="0" fontId="15" fillId="0" borderId="0"/>
    <xf numFmtId="9" fontId="13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3" fillId="0" borderId="0"/>
    <xf numFmtId="44" fontId="18" fillId="0" borderId="0" applyFont="0" applyFill="0" applyBorder="0" applyAlignment="0" applyProtection="0"/>
    <xf numFmtId="0" fontId="12" fillId="0" borderId="0"/>
    <xf numFmtId="0" fontId="11" fillId="0" borderId="0"/>
    <xf numFmtId="44" fontId="11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58" fillId="0" borderId="0" applyNumberFormat="0" applyFill="0" applyBorder="0" applyAlignment="0" applyProtection="0"/>
  </cellStyleXfs>
  <cellXfs count="624">
    <xf numFmtId="0" fontId="0" fillId="0" borderId="0" xfId="0"/>
    <xf numFmtId="0" fontId="11" fillId="0" borderId="0" xfId="8"/>
    <xf numFmtId="0" fontId="19" fillId="0" borderId="0" xfId="8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4" fillId="2" borderId="5" xfId="0" applyFont="1" applyFill="1" applyBorder="1" applyAlignment="1">
      <alignment horizontal="right"/>
    </xf>
    <xf numFmtId="14" fontId="23" fillId="2" borderId="6" xfId="0" applyNumberFormat="1" applyFont="1" applyFill="1" applyBorder="1" applyAlignment="1">
      <alignment horizontal="right"/>
    </xf>
    <xf numFmtId="0" fontId="23" fillId="2" borderId="8" xfId="0" applyFont="1" applyFill="1" applyBorder="1" applyAlignment="1">
      <alignment horizontal="right"/>
    </xf>
    <xf numFmtId="0" fontId="22" fillId="2" borderId="8" xfId="0" applyFont="1" applyFill="1" applyBorder="1"/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2" fillId="0" borderId="1" xfId="0" applyFont="1" applyBorder="1" applyAlignment="1">
      <alignment horizontal="left"/>
    </xf>
    <xf numFmtId="164" fontId="22" fillId="0" borderId="1" xfId="0" applyNumberFormat="1" applyFont="1" applyBorder="1"/>
    <xf numFmtId="0" fontId="22" fillId="0" borderId="1" xfId="0" applyFont="1" applyBorder="1" applyAlignment="1">
      <alignment horizontal="right"/>
    </xf>
    <xf numFmtId="3" fontId="22" fillId="0" borderId="1" xfId="1" applyNumberFormat="1" applyFont="1" applyBorder="1" applyAlignment="1">
      <alignment horizontal="right"/>
    </xf>
    <xf numFmtId="164" fontId="22" fillId="0" borderId="1" xfId="0" applyNumberFormat="1" applyFont="1" applyBorder="1" applyAlignment="1">
      <alignment horizontal="right"/>
    </xf>
    <xf numFmtId="0" fontId="22" fillId="5" borderId="1" xfId="2" applyFont="1" applyFill="1" applyBorder="1" applyAlignment="1">
      <alignment horizontal="left"/>
    </xf>
    <xf numFmtId="3" fontId="22" fillId="0" borderId="1" xfId="0" applyNumberFormat="1" applyFont="1" applyBorder="1" applyAlignment="1">
      <alignment horizontal="right"/>
    </xf>
    <xf numFmtId="0" fontId="22" fillId="0" borderId="1" xfId="2" applyFont="1" applyBorder="1" applyAlignment="1">
      <alignment horizontal="left"/>
    </xf>
    <xf numFmtId="0" fontId="25" fillId="0" borderId="1" xfId="2" applyFont="1" applyBorder="1" applyAlignment="1">
      <alignment horizontal="left"/>
    </xf>
    <xf numFmtId="3" fontId="22" fillId="0" borderId="1" xfId="0" applyNumberFormat="1" applyFont="1" applyBorder="1"/>
    <xf numFmtId="0" fontId="25" fillId="0" borderId="1" xfId="2" applyFont="1" applyBorder="1" applyAlignment="1">
      <alignment horizontal="center"/>
    </xf>
    <xf numFmtId="10" fontId="22" fillId="0" borderId="1" xfId="3" applyNumberFormat="1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166" fontId="22" fillId="0" borderId="1" xfId="3" applyNumberFormat="1" applyFont="1" applyBorder="1"/>
    <xf numFmtId="0" fontId="22" fillId="0" borderId="1" xfId="2" applyFont="1" applyBorder="1" applyAlignment="1">
      <alignment horizontal="right"/>
    </xf>
    <xf numFmtId="1" fontId="22" fillId="0" borderId="1" xfId="2" applyNumberFormat="1" applyFont="1" applyBorder="1" applyAlignment="1">
      <alignment horizontal="right"/>
    </xf>
    <xf numFmtId="3" fontId="22" fillId="0" borderId="1" xfId="0" applyNumberFormat="1" applyFont="1" applyBorder="1" applyAlignment="1">
      <alignment horizontal="left"/>
    </xf>
    <xf numFmtId="0" fontId="22" fillId="0" borderId="0" xfId="0" applyFont="1" applyAlignment="1">
      <alignment horizontal="left" indent="1"/>
    </xf>
    <xf numFmtId="3" fontId="22" fillId="0" borderId="1" xfId="0" applyNumberFormat="1" applyFont="1" applyBorder="1" applyAlignment="1">
      <alignment horizontal="center"/>
    </xf>
    <xf numFmtId="0" fontId="22" fillId="0" borderId="1" xfId="2" applyFont="1" applyBorder="1" applyAlignment="1">
      <alignment horizontal="center"/>
    </xf>
    <xf numFmtId="0" fontId="24" fillId="0" borderId="1" xfId="0" applyFont="1" applyBorder="1"/>
    <xf numFmtId="9" fontId="22" fillId="0" borderId="1" xfId="3" applyFont="1" applyBorder="1"/>
    <xf numFmtId="166" fontId="22" fillId="0" borderId="1" xfId="0" applyNumberFormat="1" applyFont="1" applyBorder="1"/>
    <xf numFmtId="0" fontId="22" fillId="0" borderId="1" xfId="0" applyFont="1" applyBorder="1" applyAlignment="1">
      <alignment horizontal="left" indent="1"/>
    </xf>
    <xf numFmtId="0" fontId="25" fillId="5" borderId="1" xfId="0" applyFont="1" applyFill="1" applyBorder="1" applyAlignment="1" applyProtection="1">
      <alignment horizontal="left" indent="1"/>
      <protection locked="0"/>
    </xf>
    <xf numFmtId="0" fontId="25" fillId="0" borderId="1" xfId="0" applyFont="1" applyBorder="1" applyAlignment="1" applyProtection="1">
      <alignment horizontal="left" indent="1"/>
      <protection locked="0"/>
    </xf>
    <xf numFmtId="0" fontId="24" fillId="0" borderId="1" xfId="0" applyFont="1" applyBorder="1" applyAlignment="1">
      <alignment horizontal="left" indent="1"/>
    </xf>
    <xf numFmtId="0" fontId="25" fillId="0" borderId="1" xfId="0" applyFont="1" applyBorder="1" applyAlignment="1">
      <alignment horizontal="left" indent="1"/>
    </xf>
    <xf numFmtId="0" fontId="25" fillId="0" borderId="1" xfId="2" applyFont="1" applyBorder="1" applyAlignment="1">
      <alignment horizontal="left" indent="1"/>
    </xf>
    <xf numFmtId="0" fontId="22" fillId="4" borderId="1" xfId="0" applyFont="1" applyFill="1" applyBorder="1" applyAlignment="1">
      <alignment horizontal="left" indent="1"/>
    </xf>
    <xf numFmtId="0" fontId="24" fillId="4" borderId="1" xfId="0" applyFont="1" applyFill="1" applyBorder="1" applyAlignment="1">
      <alignment horizontal="left" indent="1"/>
    </xf>
    <xf numFmtId="0" fontId="22" fillId="0" borderId="1" xfId="0" applyFont="1" applyBorder="1" applyAlignment="1" applyProtection="1">
      <alignment horizontal="left" indent="1"/>
      <protection locked="0"/>
    </xf>
    <xf numFmtId="0" fontId="24" fillId="0" borderId="1" xfId="0" applyFont="1" applyBorder="1" applyAlignment="1" applyProtection="1">
      <alignment horizontal="left" indent="1"/>
      <protection locked="0"/>
    </xf>
    <xf numFmtId="0" fontId="22" fillId="0" borderId="1" xfId="2" applyFont="1" applyBorder="1" applyAlignment="1">
      <alignment horizontal="left" indent="1"/>
    </xf>
    <xf numFmtId="0" fontId="22" fillId="0" borderId="1" xfId="0" applyFont="1" applyBorder="1" applyAlignment="1" applyProtection="1">
      <alignment horizontal="left" indent="2"/>
      <protection locked="0"/>
    </xf>
    <xf numFmtId="0" fontId="22" fillId="0" borderId="1" xfId="0" applyFont="1" applyBorder="1" applyAlignment="1" applyProtection="1">
      <alignment horizontal="left"/>
      <protection locked="0"/>
    </xf>
    <xf numFmtId="8" fontId="22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left" indent="2"/>
    </xf>
    <xf numFmtId="3" fontId="24" fillId="2" borderId="10" xfId="0" applyNumberFormat="1" applyFont="1" applyFill="1" applyBorder="1" applyAlignment="1">
      <alignment horizontal="right"/>
    </xf>
    <xf numFmtId="9" fontId="24" fillId="2" borderId="10" xfId="3" applyFont="1" applyFill="1" applyBorder="1"/>
    <xf numFmtId="0" fontId="24" fillId="2" borderId="10" xfId="0" applyFont="1" applyFill="1" applyBorder="1"/>
    <xf numFmtId="0" fontId="22" fillId="2" borderId="11" xfId="0" applyFont="1" applyFill="1" applyBorder="1"/>
    <xf numFmtId="0" fontId="22" fillId="0" borderId="0" xfId="0" applyFont="1" applyAlignment="1">
      <alignment vertical="center"/>
    </xf>
    <xf numFmtId="0" fontId="22" fillId="6" borderId="1" xfId="0" applyFont="1" applyFill="1" applyBorder="1" applyAlignment="1">
      <alignment horizontal="center" vertical="center"/>
    </xf>
    <xf numFmtId="3" fontId="22" fillId="6" borderId="1" xfId="0" applyNumberFormat="1" applyFont="1" applyFill="1" applyBorder="1" applyAlignment="1">
      <alignment vertical="center"/>
    </xf>
    <xf numFmtId="0" fontId="22" fillId="6" borderId="1" xfId="0" applyFont="1" applyFill="1" applyBorder="1" applyAlignment="1">
      <alignment horizontal="left" vertical="center"/>
    </xf>
    <xf numFmtId="164" fontId="22" fillId="6" borderId="1" xfId="0" applyNumberFormat="1" applyFont="1" applyFill="1" applyBorder="1" applyAlignment="1">
      <alignment vertical="center"/>
    </xf>
    <xf numFmtId="164" fontId="22" fillId="6" borderId="1" xfId="0" applyNumberFormat="1" applyFont="1" applyFill="1" applyBorder="1" applyAlignment="1">
      <alignment horizontal="right" vertical="center"/>
    </xf>
    <xf numFmtId="167" fontId="22" fillId="0" borderId="1" xfId="0" applyNumberFormat="1" applyFont="1" applyBorder="1"/>
    <xf numFmtId="0" fontId="24" fillId="0" borderId="0" xfId="0" applyFont="1"/>
    <xf numFmtId="0" fontId="26" fillId="8" borderId="1" xfId="0" applyFont="1" applyFill="1" applyBorder="1" applyAlignment="1">
      <alignment horizontal="center"/>
    </xf>
    <xf numFmtId="0" fontId="26" fillId="8" borderId="1" xfId="0" applyFont="1" applyFill="1" applyBorder="1" applyAlignment="1">
      <alignment horizontal="right"/>
    </xf>
    <xf numFmtId="0" fontId="26" fillId="8" borderId="1" xfId="0" applyFont="1" applyFill="1" applyBorder="1" applyAlignment="1">
      <alignment horizontal="left"/>
    </xf>
    <xf numFmtId="164" fontId="26" fillId="8" borderId="1" xfId="0" applyNumberFormat="1" applyFont="1" applyFill="1" applyBorder="1" applyAlignment="1">
      <alignment horizontal="right"/>
    </xf>
    <xf numFmtId="0" fontId="26" fillId="8" borderId="1" xfId="0" applyFont="1" applyFill="1" applyBorder="1"/>
    <xf numFmtId="0" fontId="30" fillId="8" borderId="1" xfId="0" applyFont="1" applyFill="1" applyBorder="1"/>
    <xf numFmtId="0" fontId="22" fillId="6" borderId="1" xfId="2" applyFont="1" applyFill="1" applyBorder="1" applyAlignment="1">
      <alignment vertical="center"/>
    </xf>
    <xf numFmtId="43" fontId="22" fillId="0" borderId="1" xfId="1" applyFont="1" applyBorder="1"/>
    <xf numFmtId="49" fontId="22" fillId="0" borderId="0" xfId="0" applyNumberFormat="1" applyFont="1" applyAlignment="1">
      <alignment horizontal="center"/>
    </xf>
    <xf numFmtId="49" fontId="23" fillId="2" borderId="4" xfId="0" applyNumberFormat="1" applyFont="1" applyFill="1" applyBorder="1"/>
    <xf numFmtId="49" fontId="23" fillId="2" borderId="7" xfId="0" applyNumberFormat="1" applyFont="1" applyFill="1" applyBorder="1"/>
    <xf numFmtId="49" fontId="23" fillId="2" borderId="12" xfId="0" applyNumberFormat="1" applyFont="1" applyFill="1" applyBorder="1"/>
    <xf numFmtId="49" fontId="22" fillId="0" borderId="1" xfId="0" applyNumberFormat="1" applyFont="1" applyBorder="1" applyAlignment="1">
      <alignment horizontal="center"/>
    </xf>
    <xf numFmtId="49" fontId="22" fillId="0" borderId="0" xfId="0" applyNumberFormat="1" applyFont="1"/>
    <xf numFmtId="44" fontId="22" fillId="0" borderId="1" xfId="4" applyFont="1" applyBorder="1"/>
    <xf numFmtId="170" fontId="24" fillId="3" borderId="0" xfId="4" applyNumberFormat="1" applyFont="1" applyFill="1"/>
    <xf numFmtId="168" fontId="22" fillId="0" borderId="1" xfId="1" applyNumberFormat="1" applyFont="1" applyBorder="1"/>
    <xf numFmtId="49" fontId="22" fillId="0" borderId="18" xfId="0" applyNumberFormat="1" applyFont="1" applyBorder="1" applyAlignment="1">
      <alignment horizontal="center"/>
    </xf>
    <xf numFmtId="0" fontId="22" fillId="0" borderId="18" xfId="0" applyFont="1" applyBorder="1"/>
    <xf numFmtId="168" fontId="22" fillId="0" borderId="18" xfId="1" applyNumberFormat="1" applyFont="1" applyBorder="1"/>
    <xf numFmtId="43" fontId="22" fillId="0" borderId="18" xfId="1" applyFont="1" applyBorder="1"/>
    <xf numFmtId="0" fontId="26" fillId="7" borderId="12" xfId="0" applyFont="1" applyFill="1" applyBorder="1"/>
    <xf numFmtId="49" fontId="26" fillId="7" borderId="10" xfId="0" applyNumberFormat="1" applyFont="1" applyFill="1" applyBorder="1" applyAlignment="1">
      <alignment horizontal="center"/>
    </xf>
    <xf numFmtId="0" fontId="28" fillId="7" borderId="10" xfId="0" applyFont="1" applyFill="1" applyBorder="1"/>
    <xf numFmtId="0" fontId="22" fillId="0" borderId="8" xfId="0" applyFont="1" applyBorder="1"/>
    <xf numFmtId="49" fontId="22" fillId="0" borderId="27" xfId="0" applyNumberFormat="1" applyFont="1" applyBorder="1" applyAlignment="1">
      <alignment horizontal="center"/>
    </xf>
    <xf numFmtId="0" fontId="22" fillId="0" borderId="27" xfId="0" applyFont="1" applyBorder="1"/>
    <xf numFmtId="168" fontId="22" fillId="0" borderId="27" xfId="1" applyNumberFormat="1" applyFont="1" applyBorder="1"/>
    <xf numFmtId="43" fontId="22" fillId="0" borderId="27" xfId="1" applyFont="1" applyBorder="1"/>
    <xf numFmtId="49" fontId="26" fillId="7" borderId="20" xfId="0" applyNumberFormat="1" applyFont="1" applyFill="1" applyBorder="1" applyAlignment="1">
      <alignment horizontal="center"/>
    </xf>
    <xf numFmtId="0" fontId="28" fillId="7" borderId="20" xfId="0" applyFont="1" applyFill="1" applyBorder="1"/>
    <xf numFmtId="0" fontId="26" fillId="7" borderId="32" xfId="0" applyFont="1" applyFill="1" applyBorder="1"/>
    <xf numFmtId="0" fontId="22" fillId="0" borderId="36" xfId="0" applyFont="1" applyBorder="1"/>
    <xf numFmtId="0" fontId="22" fillId="0" borderId="36" xfId="0" applyFont="1" applyBorder="1" applyAlignment="1">
      <alignment horizontal="center"/>
    </xf>
    <xf numFmtId="0" fontId="22" fillId="0" borderId="36" xfId="0" applyFont="1" applyBorder="1" applyAlignment="1">
      <alignment horizontal="left"/>
    </xf>
    <xf numFmtId="0" fontId="27" fillId="7" borderId="27" xfId="0" applyFont="1" applyFill="1" applyBorder="1"/>
    <xf numFmtId="0" fontId="26" fillId="7" borderId="27" xfId="0" applyFont="1" applyFill="1" applyBorder="1" applyAlignment="1">
      <alignment horizontal="center"/>
    </xf>
    <xf numFmtId="3" fontId="28" fillId="7" borderId="27" xfId="0" applyNumberFormat="1" applyFont="1" applyFill="1" applyBorder="1" applyAlignment="1">
      <alignment horizontal="center"/>
    </xf>
    <xf numFmtId="0" fontId="28" fillId="7" borderId="27" xfId="0" applyFont="1" applyFill="1" applyBorder="1" applyAlignment="1">
      <alignment horizontal="left"/>
    </xf>
    <xf numFmtId="44" fontId="28" fillId="7" borderId="27" xfId="4" applyFont="1" applyFill="1" applyBorder="1" applyAlignment="1">
      <alignment horizontal="center"/>
    </xf>
    <xf numFmtId="164" fontId="28" fillId="7" borderId="27" xfId="0" applyNumberFormat="1" applyFont="1" applyFill="1" applyBorder="1" applyAlignment="1">
      <alignment horizontal="right"/>
    </xf>
    <xf numFmtId="0" fontId="22" fillId="0" borderId="25" xfId="0" applyFont="1" applyBorder="1"/>
    <xf numFmtId="0" fontId="22" fillId="0" borderId="38" xfId="0" applyFont="1" applyBorder="1" applyAlignment="1">
      <alignment horizontal="left" indent="1"/>
    </xf>
    <xf numFmtId="0" fontId="22" fillId="0" borderId="38" xfId="0" applyFont="1" applyBorder="1" applyAlignment="1">
      <alignment horizontal="left"/>
    </xf>
    <xf numFmtId="164" fontId="22" fillId="0" borderId="38" xfId="0" applyNumberFormat="1" applyFont="1" applyBorder="1" applyAlignment="1">
      <alignment horizontal="right"/>
    </xf>
    <xf numFmtId="0" fontId="22" fillId="0" borderId="39" xfId="0" applyFont="1" applyBorder="1"/>
    <xf numFmtId="0" fontId="22" fillId="0" borderId="40" xfId="0" applyFont="1" applyBorder="1"/>
    <xf numFmtId="0" fontId="22" fillId="0" borderId="40" xfId="0" applyFont="1" applyBorder="1" applyAlignment="1">
      <alignment horizontal="center"/>
    </xf>
    <xf numFmtId="0" fontId="22" fillId="0" borderId="40" xfId="0" applyFont="1" applyBorder="1" applyAlignment="1">
      <alignment horizontal="left"/>
    </xf>
    <xf numFmtId="0" fontId="28" fillId="7" borderId="27" xfId="0" applyFont="1" applyFill="1" applyBorder="1" applyAlignment="1">
      <alignment horizontal="center"/>
    </xf>
    <xf numFmtId="164" fontId="28" fillId="7" borderId="27" xfId="0" applyNumberFormat="1" applyFont="1" applyFill="1" applyBorder="1" applyAlignment="1">
      <alignment horizontal="center"/>
    </xf>
    <xf numFmtId="164" fontId="22" fillId="0" borderId="25" xfId="0" applyNumberFormat="1" applyFont="1" applyBorder="1"/>
    <xf numFmtId="0" fontId="22" fillId="0" borderId="38" xfId="0" applyFont="1" applyBorder="1"/>
    <xf numFmtId="0" fontId="22" fillId="0" borderId="38" xfId="0" applyFont="1" applyBorder="1" applyAlignment="1">
      <alignment horizontal="right"/>
    </xf>
    <xf numFmtId="0" fontId="22" fillId="0" borderId="40" xfId="0" applyFont="1" applyBorder="1" applyAlignment="1">
      <alignment horizontal="right"/>
    </xf>
    <xf numFmtId="0" fontId="22" fillId="0" borderId="25" xfId="0" applyFont="1" applyBorder="1" applyAlignment="1">
      <alignment horizontal="left" indent="1"/>
    </xf>
    <xf numFmtId="164" fontId="22" fillId="0" borderId="39" xfId="0" applyNumberFormat="1" applyFont="1" applyBorder="1"/>
    <xf numFmtId="0" fontId="29" fillId="7" borderId="27" xfId="0" applyFont="1" applyFill="1" applyBorder="1"/>
    <xf numFmtId="0" fontId="24" fillId="0" borderId="38" xfId="0" applyFont="1" applyBorder="1" applyAlignment="1">
      <alignment horizontal="left" indent="1"/>
    </xf>
    <xf numFmtId="8" fontId="22" fillId="0" borderId="39" xfId="0" applyNumberFormat="1" applyFont="1" applyBorder="1"/>
    <xf numFmtId="0" fontId="22" fillId="0" borderId="40" xfId="0" applyFont="1" applyBorder="1" applyAlignment="1">
      <alignment horizontal="left" indent="1"/>
    </xf>
    <xf numFmtId="0" fontId="27" fillId="7" borderId="42" xfId="0" applyFont="1" applyFill="1" applyBorder="1"/>
    <xf numFmtId="0" fontId="26" fillId="7" borderId="42" xfId="0" applyFont="1" applyFill="1" applyBorder="1" applyAlignment="1">
      <alignment horizontal="center"/>
    </xf>
    <xf numFmtId="3" fontId="28" fillId="7" borderId="42" xfId="0" applyNumberFormat="1" applyFont="1" applyFill="1" applyBorder="1" applyAlignment="1">
      <alignment horizontal="center"/>
    </xf>
    <xf numFmtId="0" fontId="28" fillId="7" borderId="42" xfId="0" applyFont="1" applyFill="1" applyBorder="1" applyAlignment="1">
      <alignment horizontal="left"/>
    </xf>
    <xf numFmtId="44" fontId="28" fillId="7" borderId="42" xfId="4" applyFont="1" applyFill="1" applyBorder="1" applyAlignment="1">
      <alignment horizontal="center"/>
    </xf>
    <xf numFmtId="164" fontId="28" fillId="7" borderId="42" xfId="0" applyNumberFormat="1" applyFont="1" applyFill="1" applyBorder="1" applyAlignment="1">
      <alignment horizontal="right"/>
    </xf>
    <xf numFmtId="0" fontId="26" fillId="7" borderId="33" xfId="0" applyFont="1" applyFill="1" applyBorder="1" applyAlignment="1">
      <alignment vertical="center"/>
    </xf>
    <xf numFmtId="49" fontId="26" fillId="7" borderId="34" xfId="0" applyNumberFormat="1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vertical="center"/>
    </xf>
    <xf numFmtId="0" fontId="26" fillId="7" borderId="15" xfId="0" applyFont="1" applyFill="1" applyBorder="1" applyAlignment="1">
      <alignment vertical="center"/>
    </xf>
    <xf numFmtId="49" fontId="26" fillId="7" borderId="9" xfId="0" applyNumberFormat="1" applyFont="1" applyFill="1" applyBorder="1" applyAlignment="1">
      <alignment horizontal="center" vertical="center"/>
    </xf>
    <xf numFmtId="0" fontId="28" fillId="7" borderId="9" xfId="0" applyFont="1" applyFill="1" applyBorder="1" applyAlignment="1">
      <alignment vertical="center"/>
    </xf>
    <xf numFmtId="0" fontId="31" fillId="7" borderId="15" xfId="0" applyFont="1" applyFill="1" applyBorder="1" applyAlignment="1">
      <alignment vertical="center"/>
    </xf>
    <xf numFmtId="49" fontId="31" fillId="7" borderId="9" xfId="0" applyNumberFormat="1" applyFont="1" applyFill="1" applyBorder="1" applyAlignment="1">
      <alignment horizontal="center" vertical="center"/>
    </xf>
    <xf numFmtId="9" fontId="24" fillId="2" borderId="10" xfId="3" applyFont="1" applyFill="1" applyBorder="1" applyAlignment="1">
      <alignment horizontal="right"/>
    </xf>
    <xf numFmtId="0" fontId="24" fillId="0" borderId="0" xfId="0" applyFont="1" applyAlignment="1">
      <alignment horizontal="center"/>
    </xf>
    <xf numFmtId="8" fontId="22" fillId="0" borderId="25" xfId="0" applyNumberFormat="1" applyFont="1" applyBorder="1"/>
    <xf numFmtId="0" fontId="10" fillId="0" borderId="0" xfId="10"/>
    <xf numFmtId="0" fontId="31" fillId="0" borderId="0" xfId="10" applyFont="1"/>
    <xf numFmtId="0" fontId="19" fillId="0" borderId="2" xfId="10" applyFont="1" applyBorder="1" applyAlignment="1">
      <alignment horizontal="center"/>
    </xf>
    <xf numFmtId="0" fontId="19" fillId="0" borderId="0" xfId="10" applyFont="1" applyAlignment="1">
      <alignment horizontal="center"/>
    </xf>
    <xf numFmtId="0" fontId="19" fillId="3" borderId="0" xfId="10" applyFont="1" applyFill="1" applyAlignment="1">
      <alignment horizontal="center"/>
    </xf>
    <xf numFmtId="0" fontId="10" fillId="0" borderId="0" xfId="10" applyAlignment="1">
      <alignment horizontal="center"/>
    </xf>
    <xf numFmtId="170" fontId="0" fillId="0" borderId="0" xfId="12" applyNumberFormat="1" applyFont="1" applyAlignment="1">
      <alignment horizontal="center"/>
    </xf>
    <xf numFmtId="170" fontId="19" fillId="3" borderId="0" xfId="12" applyNumberFormat="1" applyFont="1" applyFill="1" applyAlignment="1">
      <alignment horizontal="center" vertical="center"/>
    </xf>
    <xf numFmtId="0" fontId="39" fillId="0" borderId="0" xfId="10" applyFont="1"/>
    <xf numFmtId="0" fontId="10" fillId="0" borderId="49" xfId="10" applyBorder="1" applyAlignment="1">
      <alignment horizontal="center"/>
    </xf>
    <xf numFmtId="170" fontId="0" fillId="0" borderId="49" xfId="12" applyNumberFormat="1" applyFont="1" applyBorder="1" applyAlignment="1">
      <alignment horizontal="center"/>
    </xf>
    <xf numFmtId="170" fontId="0" fillId="0" borderId="50" xfId="12" applyNumberFormat="1" applyFont="1" applyBorder="1" applyAlignment="1">
      <alignment horizontal="center"/>
    </xf>
    <xf numFmtId="9" fontId="10" fillId="0" borderId="49" xfId="10" applyNumberFormat="1" applyBorder="1" applyAlignment="1">
      <alignment horizontal="center"/>
    </xf>
    <xf numFmtId="0" fontId="10" fillId="0" borderId="55" xfId="10" applyBorder="1" applyAlignment="1">
      <alignment horizontal="center"/>
    </xf>
    <xf numFmtId="170" fontId="0" fillId="0" borderId="55" xfId="12" applyNumberFormat="1" applyFont="1" applyBorder="1" applyAlignment="1">
      <alignment horizontal="center"/>
    </xf>
    <xf numFmtId="170" fontId="31" fillId="0" borderId="0" xfId="12" applyNumberFormat="1" applyFont="1" applyAlignment="1">
      <alignment horizontal="center"/>
    </xf>
    <xf numFmtId="0" fontId="0" fillId="0" borderId="49" xfId="13" applyNumberFormat="1" applyFont="1" applyBorder="1" applyAlignment="1">
      <alignment horizontal="center"/>
    </xf>
    <xf numFmtId="43" fontId="0" fillId="0" borderId="0" xfId="13" applyFont="1"/>
    <xf numFmtId="0" fontId="31" fillId="7" borderId="15" xfId="0" applyFont="1" applyFill="1" applyBorder="1" applyAlignment="1">
      <alignment horizontal="left" vertical="center"/>
    </xf>
    <xf numFmtId="0" fontId="31" fillId="7" borderId="9" xfId="0" applyFont="1" applyFill="1" applyBorder="1" applyAlignment="1">
      <alignment horizontal="center" vertical="center"/>
    </xf>
    <xf numFmtId="0" fontId="31" fillId="7" borderId="20" xfId="0" applyFont="1" applyFill="1" applyBorder="1"/>
    <xf numFmtId="170" fontId="31" fillId="7" borderId="20" xfId="4" applyNumberFormat="1" applyFont="1" applyFill="1" applyBorder="1"/>
    <xf numFmtId="44" fontId="31" fillId="7" borderId="20" xfId="4" applyFont="1" applyFill="1" applyBorder="1"/>
    <xf numFmtId="0" fontId="31" fillId="7" borderId="10" xfId="0" applyFont="1" applyFill="1" applyBorder="1"/>
    <xf numFmtId="170" fontId="31" fillId="7" borderId="10" xfId="0" applyNumberFormat="1" applyFont="1" applyFill="1" applyBorder="1"/>
    <xf numFmtId="0" fontId="31" fillId="7" borderId="34" xfId="0" applyFont="1" applyFill="1" applyBorder="1" applyAlignment="1">
      <alignment vertical="center"/>
    </xf>
    <xf numFmtId="170" fontId="31" fillId="7" borderId="34" xfId="4" applyNumberFormat="1" applyFont="1" applyFill="1" applyBorder="1" applyAlignment="1">
      <alignment vertical="center"/>
    </xf>
    <xf numFmtId="44" fontId="31" fillId="7" borderId="34" xfId="4" applyFont="1" applyFill="1" applyBorder="1" applyAlignment="1">
      <alignment vertical="center"/>
    </xf>
    <xf numFmtId="0" fontId="31" fillId="7" borderId="9" xfId="0" applyFont="1" applyFill="1" applyBorder="1" applyAlignment="1">
      <alignment vertical="center"/>
    </xf>
    <xf numFmtId="170" fontId="31" fillId="7" borderId="9" xfId="4" applyNumberFormat="1" applyFont="1" applyFill="1" applyBorder="1" applyAlignment="1">
      <alignment vertical="center"/>
    </xf>
    <xf numFmtId="44" fontId="31" fillId="7" borderId="9" xfId="4" applyFont="1" applyFill="1" applyBorder="1" applyAlignment="1">
      <alignment vertical="center"/>
    </xf>
    <xf numFmtId="0" fontId="29" fillId="7" borderId="9" xfId="0" applyFont="1" applyFill="1" applyBorder="1" applyAlignment="1">
      <alignment vertical="center"/>
    </xf>
    <xf numFmtId="170" fontId="29" fillId="7" borderId="9" xfId="0" applyNumberFormat="1" applyFont="1" applyFill="1" applyBorder="1" applyAlignment="1">
      <alignment vertical="center"/>
    </xf>
    <xf numFmtId="44" fontId="29" fillId="7" borderId="9" xfId="4" applyFont="1" applyFill="1" applyBorder="1" applyAlignment="1">
      <alignment vertical="center"/>
    </xf>
    <xf numFmtId="49" fontId="22" fillId="0" borderId="27" xfId="0" applyNumberFormat="1" applyFont="1" applyBorder="1"/>
    <xf numFmtId="49" fontId="22" fillId="0" borderId="38" xfId="0" applyNumberFormat="1" applyFont="1" applyBorder="1" applyAlignment="1">
      <alignment horizontal="center"/>
    </xf>
    <xf numFmtId="49" fontId="22" fillId="0" borderId="1" xfId="0" applyNumberFormat="1" applyFont="1" applyBorder="1"/>
    <xf numFmtId="168" fontId="22" fillId="3" borderId="0" xfId="1" applyNumberFormat="1" applyFont="1" applyFill="1"/>
    <xf numFmtId="168" fontId="22" fillId="0" borderId="0" xfId="1" applyNumberFormat="1" applyFont="1"/>
    <xf numFmtId="14" fontId="23" fillId="2" borderId="8" xfId="0" applyNumberFormat="1" applyFont="1" applyFill="1" applyBorder="1" applyAlignment="1">
      <alignment horizontal="right"/>
    </xf>
    <xf numFmtId="3" fontId="28" fillId="7" borderId="27" xfId="0" applyNumberFormat="1" applyFont="1" applyFill="1" applyBorder="1" applyAlignment="1">
      <alignment horizontal="right"/>
    </xf>
    <xf numFmtId="7" fontId="28" fillId="7" borderId="27" xfId="4" applyNumberFormat="1" applyFont="1" applyFill="1" applyBorder="1" applyAlignment="1">
      <alignment horizontal="right"/>
    </xf>
    <xf numFmtId="0" fontId="21" fillId="0" borderId="0" xfId="8" applyFont="1"/>
    <xf numFmtId="0" fontId="41" fillId="0" borderId="0" xfId="8" applyFont="1"/>
    <xf numFmtId="165" fontId="41" fillId="0" borderId="0" xfId="8" applyNumberFormat="1" applyFont="1"/>
    <xf numFmtId="9" fontId="41" fillId="0" borderId="0" xfId="3" applyFont="1" applyBorder="1"/>
    <xf numFmtId="0" fontId="11" fillId="0" borderId="0" xfId="8" applyAlignment="1">
      <alignment horizontal="center"/>
    </xf>
    <xf numFmtId="0" fontId="21" fillId="0" borderId="0" xfId="8" applyFont="1" applyAlignment="1">
      <alignment horizontal="center"/>
    </xf>
    <xf numFmtId="0" fontId="11" fillId="0" borderId="0" xfId="8" applyAlignment="1">
      <alignment vertical="center"/>
    </xf>
    <xf numFmtId="0" fontId="24" fillId="2" borderId="5" xfId="0" applyFont="1" applyFill="1" applyBorder="1"/>
    <xf numFmtId="165" fontId="24" fillId="2" borderId="5" xfId="0" applyNumberFormat="1" applyFont="1" applyFill="1" applyBorder="1"/>
    <xf numFmtId="0" fontId="24" fillId="2" borderId="5" xfId="0" applyFont="1" applyFill="1" applyBorder="1" applyAlignment="1">
      <alignment horizontal="left"/>
    </xf>
    <xf numFmtId="0" fontId="24" fillId="2" borderId="0" xfId="0" applyFont="1" applyFill="1" applyAlignment="1">
      <alignment horizontal="right"/>
    </xf>
    <xf numFmtId="164" fontId="24" fillId="2" borderId="0" xfId="0" applyNumberFormat="1" applyFont="1" applyFill="1" applyAlignment="1">
      <alignment horizontal="right"/>
    </xf>
    <xf numFmtId="0" fontId="24" fillId="2" borderId="0" xfId="0" applyFont="1" applyFill="1" applyAlignment="1">
      <alignment horizontal="left"/>
    </xf>
    <xf numFmtId="168" fontId="24" fillId="2" borderId="0" xfId="1" applyNumberFormat="1" applyFont="1" applyFill="1" applyBorder="1" applyAlignment="1">
      <alignment horizontal="right"/>
    </xf>
    <xf numFmtId="0" fontId="24" fillId="2" borderId="0" xfId="0" applyFont="1" applyFill="1"/>
    <xf numFmtId="9" fontId="24" fillId="2" borderId="0" xfId="3" applyFont="1" applyFill="1" applyBorder="1" applyAlignment="1">
      <alignment horizontal="right"/>
    </xf>
    <xf numFmtId="0" fontId="43" fillId="0" borderId="1" xfId="0" applyFont="1" applyBorder="1" applyAlignment="1">
      <alignment horizontal="left" indent="1"/>
    </xf>
    <xf numFmtId="0" fontId="43" fillId="0" borderId="1" xfId="0" applyFont="1" applyBorder="1" applyAlignment="1">
      <alignment horizontal="center"/>
    </xf>
    <xf numFmtId="3" fontId="43" fillId="0" borderId="1" xfId="1" applyNumberFormat="1" applyFont="1" applyBorder="1" applyAlignment="1">
      <alignment horizontal="right"/>
    </xf>
    <xf numFmtId="0" fontId="43" fillId="0" borderId="1" xfId="0" applyFont="1" applyBorder="1" applyAlignment="1">
      <alignment horizontal="left"/>
    </xf>
    <xf numFmtId="164" fontId="43" fillId="0" borderId="1" xfId="0" applyNumberFormat="1" applyFont="1" applyBorder="1" applyAlignment="1">
      <alignment horizontal="right"/>
    </xf>
    <xf numFmtId="44" fontId="22" fillId="0" borderId="0" xfId="4" applyFont="1"/>
    <xf numFmtId="44" fontId="22" fillId="0" borderId="0" xfId="4" applyFont="1" applyAlignment="1">
      <alignment vertical="center"/>
    </xf>
    <xf numFmtId="0" fontId="24" fillId="0" borderId="0" xfId="0" applyFont="1" applyAlignment="1">
      <alignment vertical="center"/>
    </xf>
    <xf numFmtId="0" fontId="9" fillId="0" borderId="7" xfId="8" applyFont="1" applyBorder="1"/>
    <xf numFmtId="165" fontId="9" fillId="0" borderId="0" xfId="8" applyNumberFormat="1" applyFont="1"/>
    <xf numFmtId="9" fontId="9" fillId="0" borderId="0" xfId="3" applyFont="1" applyBorder="1"/>
    <xf numFmtId="0" fontId="9" fillId="0" borderId="0" xfId="8" applyFont="1"/>
    <xf numFmtId="0" fontId="9" fillId="0" borderId="8" xfId="8" applyFont="1" applyBorder="1"/>
    <xf numFmtId="170" fontId="9" fillId="0" borderId="13" xfId="4" applyNumberFormat="1" applyFont="1" applyBorder="1"/>
    <xf numFmtId="10" fontId="9" fillId="0" borderId="13" xfId="3" applyNumberFormat="1" applyFont="1" applyBorder="1"/>
    <xf numFmtId="170" fontId="9" fillId="0" borderId="14" xfId="4" applyNumberFormat="1" applyFont="1" applyBorder="1"/>
    <xf numFmtId="0" fontId="11" fillId="0" borderId="2" xfId="8" applyBorder="1"/>
    <xf numFmtId="0" fontId="42" fillId="0" borderId="0" xfId="8" applyFont="1"/>
    <xf numFmtId="0" fontId="19" fillId="9" borderId="52" xfId="10" applyFont="1" applyFill="1" applyBorder="1" applyAlignment="1">
      <alignment horizontal="center"/>
    </xf>
    <xf numFmtId="170" fontId="45" fillId="9" borderId="52" xfId="12" applyNumberFormat="1" applyFont="1" applyFill="1" applyBorder="1" applyAlignment="1">
      <alignment horizontal="center"/>
    </xf>
    <xf numFmtId="170" fontId="45" fillId="9" borderId="53" xfId="12" applyNumberFormat="1" applyFont="1" applyFill="1" applyBorder="1" applyAlignment="1">
      <alignment horizontal="center"/>
    </xf>
    <xf numFmtId="0" fontId="40" fillId="7" borderId="42" xfId="0" applyFont="1" applyFill="1" applyBorder="1" applyAlignment="1">
      <alignment horizontal="center" vertical="center"/>
    </xf>
    <xf numFmtId="0" fontId="40" fillId="7" borderId="60" xfId="0" applyFont="1" applyFill="1" applyBorder="1" applyAlignment="1">
      <alignment horizontal="center" vertical="center"/>
    </xf>
    <xf numFmtId="170" fontId="0" fillId="9" borderId="49" xfId="12" applyNumberFormat="1" applyFont="1" applyFill="1" applyBorder="1" applyAlignment="1">
      <alignment horizontal="center"/>
    </xf>
    <xf numFmtId="170" fontId="45" fillId="9" borderId="50" xfId="12" applyNumberFormat="1" applyFont="1" applyFill="1" applyBorder="1" applyAlignment="1">
      <alignment horizontal="center"/>
    </xf>
    <xf numFmtId="170" fontId="45" fillId="9" borderId="49" xfId="12" applyNumberFormat="1" applyFont="1" applyFill="1" applyBorder="1" applyAlignment="1">
      <alignment horizontal="center"/>
    </xf>
    <xf numFmtId="0" fontId="19" fillId="9" borderId="49" xfId="10" applyFont="1" applyFill="1" applyBorder="1" applyAlignment="1">
      <alignment horizontal="center"/>
    </xf>
    <xf numFmtId="9" fontId="19" fillId="9" borderId="49" xfId="10" applyNumberFormat="1" applyFont="1" applyFill="1" applyBorder="1" applyAlignment="1">
      <alignment horizontal="center"/>
    </xf>
    <xf numFmtId="170" fontId="40" fillId="7" borderId="42" xfId="4" applyNumberFormat="1" applyFont="1" applyFill="1" applyBorder="1" applyAlignment="1">
      <alignment horizontal="center" vertical="center"/>
    </xf>
    <xf numFmtId="170" fontId="40" fillId="7" borderId="60" xfId="4" applyNumberFormat="1" applyFont="1" applyFill="1" applyBorder="1" applyAlignment="1">
      <alignment horizontal="center" vertical="center"/>
    </xf>
    <xf numFmtId="9" fontId="19" fillId="9" borderId="46" xfId="10" applyNumberFormat="1" applyFont="1" applyFill="1" applyBorder="1" applyAlignment="1">
      <alignment horizontal="center"/>
    </xf>
    <xf numFmtId="0" fontId="19" fillId="9" borderId="46" xfId="10" applyFont="1" applyFill="1" applyBorder="1" applyAlignment="1">
      <alignment horizontal="center"/>
    </xf>
    <xf numFmtId="170" fontId="45" fillId="9" borderId="46" xfId="12" applyNumberFormat="1" applyFont="1" applyFill="1" applyBorder="1" applyAlignment="1">
      <alignment horizontal="center"/>
    </xf>
    <xf numFmtId="170" fontId="45" fillId="9" borderId="47" xfId="12" applyNumberFormat="1" applyFont="1" applyFill="1" applyBorder="1" applyAlignment="1">
      <alignment horizontal="center"/>
    </xf>
    <xf numFmtId="170" fontId="0" fillId="0" borderId="56" xfId="12" applyNumberFormat="1" applyFont="1" applyBorder="1" applyAlignment="1">
      <alignment horizontal="center"/>
    </xf>
    <xf numFmtId="0" fontId="40" fillId="7" borderId="39" xfId="10" applyFont="1" applyFill="1" applyBorder="1"/>
    <xf numFmtId="170" fontId="40" fillId="7" borderId="43" xfId="10" applyNumberFormat="1" applyFont="1" applyFill="1" applyBorder="1"/>
    <xf numFmtId="0" fontId="40" fillId="7" borderId="44" xfId="10" applyFont="1" applyFill="1" applyBorder="1"/>
    <xf numFmtId="43" fontId="40" fillId="7" borderId="37" xfId="1" applyFont="1" applyFill="1" applyBorder="1"/>
    <xf numFmtId="43" fontId="22" fillId="9" borderId="0" xfId="1" applyFont="1" applyFill="1" applyBorder="1"/>
    <xf numFmtId="14" fontId="22" fillId="0" borderId="0" xfId="0" applyNumberFormat="1" applyFont="1"/>
    <xf numFmtId="43" fontId="22" fillId="0" borderId="0" xfId="1" applyFont="1" applyFill="1" applyBorder="1"/>
    <xf numFmtId="3" fontId="22" fillId="0" borderId="0" xfId="0" applyNumberFormat="1" applyFont="1" applyAlignment="1">
      <alignment horizontal="left"/>
    </xf>
    <xf numFmtId="168" fontId="22" fillId="9" borderId="0" xfId="1" applyNumberFormat="1" applyFont="1" applyFill="1" applyBorder="1"/>
    <xf numFmtId="0" fontId="22" fillId="9" borderId="0" xfId="0" applyFont="1" applyFill="1" applyAlignment="1">
      <alignment horizontal="center" vertical="center"/>
    </xf>
    <xf numFmtId="0" fontId="24" fillId="0" borderId="0" xfId="0" applyFont="1" applyAlignment="1">
      <alignment horizontal="left"/>
    </xf>
    <xf numFmtId="43" fontId="22" fillId="0" borderId="0" xfId="0" applyNumberFormat="1" applyFont="1"/>
    <xf numFmtId="0" fontId="22" fillId="0" borderId="0" xfId="0" quotePrefix="1" applyFont="1"/>
    <xf numFmtId="0" fontId="29" fillId="7" borderId="41" xfId="0" applyFont="1" applyFill="1" applyBorder="1" applyAlignment="1">
      <alignment horizontal="left" vertical="center"/>
    </xf>
    <xf numFmtId="44" fontId="29" fillId="7" borderId="42" xfId="4" applyFont="1" applyFill="1" applyBorder="1" applyAlignment="1">
      <alignment horizontal="center" vertical="center"/>
    </xf>
    <xf numFmtId="0" fontId="29" fillId="7" borderId="60" xfId="0" applyFont="1" applyFill="1" applyBorder="1" applyAlignment="1">
      <alignment horizontal="center" vertical="center"/>
    </xf>
    <xf numFmtId="0" fontId="19" fillId="0" borderId="0" xfId="8" applyFont="1" applyAlignment="1">
      <alignment vertical="center"/>
    </xf>
    <xf numFmtId="44" fontId="40" fillId="7" borderId="42" xfId="4" applyFont="1" applyFill="1" applyBorder="1" applyAlignment="1">
      <alignment horizontal="center" vertical="center"/>
    </xf>
    <xf numFmtId="0" fontId="19" fillId="0" borderId="0" xfId="8" applyFont="1"/>
    <xf numFmtId="10" fontId="40" fillId="7" borderId="42" xfId="3" applyNumberFormat="1" applyFont="1" applyFill="1" applyBorder="1" applyAlignment="1">
      <alignment horizontal="right" vertical="center"/>
    </xf>
    <xf numFmtId="0" fontId="29" fillId="7" borderId="42" xfId="0" applyFont="1" applyFill="1" applyBorder="1" applyAlignment="1">
      <alignment horizontal="center" vertical="center" wrapText="1"/>
    </xf>
    <xf numFmtId="44" fontId="29" fillId="7" borderId="42" xfId="4" applyFont="1" applyFill="1" applyBorder="1" applyAlignment="1">
      <alignment horizontal="center" vertical="center" wrapText="1"/>
    </xf>
    <xf numFmtId="0" fontId="29" fillId="7" borderId="60" xfId="0" applyFont="1" applyFill="1" applyBorder="1" applyAlignment="1">
      <alignment horizontal="center" vertical="center" wrapText="1"/>
    </xf>
    <xf numFmtId="0" fontId="29" fillId="7" borderId="65" xfId="0" applyFont="1" applyFill="1" applyBorder="1" applyAlignment="1">
      <alignment vertical="center"/>
    </xf>
    <xf numFmtId="170" fontId="9" fillId="0" borderId="65" xfId="4" applyNumberFormat="1" applyFont="1" applyBorder="1" applyAlignment="1"/>
    <xf numFmtId="0" fontId="22" fillId="0" borderId="0" xfId="0" applyFont="1" applyAlignment="1">
      <alignment horizontal="left" indent="2"/>
    </xf>
    <xf numFmtId="4" fontId="25" fillId="0" borderId="1" xfId="0" applyNumberFormat="1" applyFont="1" applyBorder="1"/>
    <xf numFmtId="0" fontId="25" fillId="0" borderId="1" xfId="0" applyFont="1" applyBorder="1"/>
    <xf numFmtId="43" fontId="22" fillId="0" borderId="1" xfId="0" applyNumberFormat="1" applyFont="1" applyBorder="1" applyAlignment="1">
      <alignment horizontal="center"/>
    </xf>
    <xf numFmtId="9" fontId="22" fillId="9" borderId="0" xfId="3" applyFont="1" applyFill="1" applyBorder="1"/>
    <xf numFmtId="0" fontId="22" fillId="10" borderId="0" xfId="0" applyFont="1" applyFill="1"/>
    <xf numFmtId="43" fontId="22" fillId="10" borderId="0" xfId="0" applyNumberFormat="1" applyFont="1" applyFill="1"/>
    <xf numFmtId="0" fontId="24" fillId="10" borderId="0" xfId="0" applyFont="1" applyFill="1"/>
    <xf numFmtId="43" fontId="24" fillId="10" borderId="0" xfId="0" applyNumberFormat="1" applyFont="1" applyFill="1"/>
    <xf numFmtId="0" fontId="22" fillId="11" borderId="0" xfId="0" applyFont="1" applyFill="1"/>
    <xf numFmtId="43" fontId="22" fillId="11" borderId="0" xfId="0" applyNumberFormat="1" applyFont="1" applyFill="1"/>
    <xf numFmtId="0" fontId="24" fillId="11" borderId="0" xfId="0" applyFont="1" applyFill="1"/>
    <xf numFmtId="43" fontId="24" fillId="11" borderId="0" xfId="0" applyNumberFormat="1" applyFont="1" applyFill="1"/>
    <xf numFmtId="0" fontId="24" fillId="12" borderId="0" xfId="0" applyFont="1" applyFill="1"/>
    <xf numFmtId="1" fontId="24" fillId="12" borderId="0" xfId="0" applyNumberFormat="1" applyFont="1" applyFill="1"/>
    <xf numFmtId="0" fontId="22" fillId="0" borderId="0" xfId="0" applyFont="1" applyAlignment="1">
      <alignment horizontal="left" indent="4"/>
    </xf>
    <xf numFmtId="0" fontId="46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46" fillId="0" borderId="0" xfId="0" applyFont="1"/>
    <xf numFmtId="164" fontId="22" fillId="0" borderId="1" xfId="0" applyNumberFormat="1" applyFont="1" applyBorder="1" applyAlignment="1">
      <alignment horizontal="center"/>
    </xf>
    <xf numFmtId="43" fontId="22" fillId="0" borderId="0" xfId="1" applyFont="1" applyBorder="1"/>
    <xf numFmtId="43" fontId="22" fillId="9" borderId="0" xfId="1" applyFont="1" applyFill="1" applyBorder="1" applyAlignment="1">
      <alignment horizontal="center"/>
    </xf>
    <xf numFmtId="0" fontId="22" fillId="13" borderId="0" xfId="0" applyFont="1" applyFill="1"/>
    <xf numFmtId="0" fontId="24" fillId="13" borderId="0" xfId="0" applyFont="1" applyFill="1"/>
    <xf numFmtId="44" fontId="22" fillId="13" borderId="0" xfId="4" applyFont="1" applyFill="1"/>
    <xf numFmtId="0" fontId="22" fillId="13" borderId="0" xfId="0" applyFont="1" applyFill="1" applyAlignment="1">
      <alignment vertical="center"/>
    </xf>
    <xf numFmtId="44" fontId="22" fillId="13" borderId="0" xfId="4" applyFont="1" applyFill="1" applyAlignment="1">
      <alignment vertical="center"/>
    </xf>
    <xf numFmtId="164" fontId="22" fillId="13" borderId="0" xfId="0" applyNumberFormat="1" applyFont="1" applyFill="1"/>
    <xf numFmtId="0" fontId="22" fillId="13" borderId="0" xfId="0" applyFont="1" applyFill="1" applyAlignment="1">
      <alignment horizontal="left" indent="1"/>
    </xf>
    <xf numFmtId="169" fontId="22" fillId="13" borderId="0" xfId="3" applyNumberFormat="1" applyFont="1" applyFill="1"/>
    <xf numFmtId="0" fontId="49" fillId="0" borderId="0" xfId="0" applyFont="1"/>
    <xf numFmtId="0" fontId="50" fillId="0" borderId="0" xfId="0" applyFont="1"/>
    <xf numFmtId="0" fontId="22" fillId="0" borderId="0" xfId="0" applyFont="1" applyAlignment="1">
      <alignment horizontal="right"/>
    </xf>
    <xf numFmtId="0" fontId="24" fillId="0" borderId="1" xfId="0" applyFont="1" applyBorder="1" applyAlignment="1">
      <alignment horizontal="right"/>
    </xf>
    <xf numFmtId="164" fontId="24" fillId="0" borderId="1" xfId="0" applyNumberFormat="1" applyFont="1" applyBorder="1" applyAlignment="1">
      <alignment horizontal="right"/>
    </xf>
    <xf numFmtId="0" fontId="24" fillId="0" borderId="25" xfId="0" applyFont="1" applyBorder="1"/>
    <xf numFmtId="164" fontId="22" fillId="13" borderId="0" xfId="4" applyNumberFormat="1" applyFont="1" applyFill="1"/>
    <xf numFmtId="164" fontId="22" fillId="13" borderId="0" xfId="4" applyNumberFormat="1" applyFont="1" applyFill="1" applyAlignment="1">
      <alignment vertical="center"/>
    </xf>
    <xf numFmtId="7" fontId="22" fillId="13" borderId="0" xfId="4" applyNumberFormat="1" applyFont="1" applyFill="1"/>
    <xf numFmtId="164" fontId="22" fillId="13" borderId="1" xfId="0" applyNumberFormat="1" applyFont="1" applyFill="1" applyBorder="1" applyAlignment="1">
      <alignment horizontal="right"/>
    </xf>
    <xf numFmtId="164" fontId="22" fillId="13" borderId="38" xfId="0" applyNumberFormat="1" applyFont="1" applyFill="1" applyBorder="1" applyAlignment="1">
      <alignment horizontal="right"/>
    </xf>
    <xf numFmtId="44" fontId="24" fillId="13" borderId="1" xfId="4" applyFont="1" applyFill="1" applyBorder="1" applyAlignment="1">
      <alignment horizontal="right"/>
    </xf>
    <xf numFmtId="164" fontId="24" fillId="13" borderId="1" xfId="0" applyNumberFormat="1" applyFont="1" applyFill="1" applyBorder="1" applyAlignment="1">
      <alignment horizontal="right"/>
    </xf>
    <xf numFmtId="164" fontId="43" fillId="13" borderId="1" xfId="0" applyNumberFormat="1" applyFont="1" applyFill="1" applyBorder="1" applyAlignment="1">
      <alignment horizontal="right"/>
    </xf>
    <xf numFmtId="164" fontId="24" fillId="6" borderId="1" xfId="0" applyNumberFormat="1" applyFont="1" applyFill="1" applyBorder="1" applyAlignment="1">
      <alignment horizontal="right" vertical="center"/>
    </xf>
    <xf numFmtId="164" fontId="24" fillId="13" borderId="1" xfId="0" applyNumberFormat="1" applyFont="1" applyFill="1" applyBorder="1" applyAlignment="1">
      <alignment horizontal="center"/>
    </xf>
    <xf numFmtId="164" fontId="28" fillId="8" borderId="1" xfId="0" applyNumberFormat="1" applyFont="1" applyFill="1" applyBorder="1" applyAlignment="1">
      <alignment horizontal="right"/>
    </xf>
    <xf numFmtId="8" fontId="24" fillId="0" borderId="1" xfId="0" applyNumberFormat="1" applyFont="1" applyBorder="1" applyAlignment="1">
      <alignment horizontal="right"/>
    </xf>
    <xf numFmtId="0" fontId="24" fillId="0" borderId="36" xfId="0" applyFont="1" applyBorder="1"/>
    <xf numFmtId="0" fontId="22" fillId="13" borderId="1" xfId="0" applyFont="1" applyFill="1" applyBorder="1"/>
    <xf numFmtId="164" fontId="22" fillId="6" borderId="67" xfId="0" applyNumberFormat="1" applyFont="1" applyFill="1" applyBorder="1" applyAlignment="1">
      <alignment horizontal="right" vertical="center"/>
    </xf>
    <xf numFmtId="164" fontId="28" fillId="7" borderId="68" xfId="0" applyNumberFormat="1" applyFont="1" applyFill="1" applyBorder="1" applyAlignment="1">
      <alignment horizontal="right"/>
    </xf>
    <xf numFmtId="164" fontId="26" fillId="8" borderId="67" xfId="0" applyNumberFormat="1" applyFont="1" applyFill="1" applyBorder="1" applyAlignment="1">
      <alignment horizontal="right"/>
    </xf>
    <xf numFmtId="43" fontId="22" fillId="0" borderId="1" xfId="2" applyNumberFormat="1" applyFont="1" applyBorder="1" applyAlignment="1">
      <alignment horizontal="center"/>
    </xf>
    <xf numFmtId="165" fontId="24" fillId="2" borderId="5" xfId="0" applyNumberFormat="1" applyFont="1" applyFill="1" applyBorder="1" applyAlignment="1">
      <alignment horizontal="right"/>
    </xf>
    <xf numFmtId="164" fontId="24" fillId="2" borderId="0" xfId="0" applyNumberFormat="1" applyFont="1" applyFill="1"/>
    <xf numFmtId="9" fontId="24" fillId="2" borderId="0" xfId="3" applyFont="1" applyFill="1" applyBorder="1"/>
    <xf numFmtId="3" fontId="22" fillId="0" borderId="1" xfId="2" applyNumberFormat="1" applyFont="1" applyBorder="1" applyAlignment="1">
      <alignment horizontal="right"/>
    </xf>
    <xf numFmtId="164" fontId="26" fillId="8" borderId="25" xfId="0" applyNumberFormat="1" applyFont="1" applyFill="1" applyBorder="1"/>
    <xf numFmtId="7" fontId="29" fillId="7" borderId="42" xfId="4" applyNumberFormat="1" applyFont="1" applyFill="1" applyBorder="1" applyAlignment="1">
      <alignment horizontal="right"/>
    </xf>
    <xf numFmtId="170" fontId="22" fillId="0" borderId="0" xfId="0" applyNumberFormat="1" applyFont="1"/>
    <xf numFmtId="168" fontId="22" fillId="0" borderId="0" xfId="0" applyNumberFormat="1" applyFont="1"/>
    <xf numFmtId="171" fontId="22" fillId="0" borderId="0" xfId="3" applyNumberFormat="1" applyFont="1"/>
    <xf numFmtId="0" fontId="51" fillId="0" borderId="1" xfId="0" applyFont="1" applyBorder="1" applyAlignment="1">
      <alignment horizontal="left" indent="1"/>
    </xf>
    <xf numFmtId="0" fontId="51" fillId="0" borderId="1" xfId="0" applyFont="1" applyBorder="1" applyAlignment="1">
      <alignment horizontal="center"/>
    </xf>
    <xf numFmtId="0" fontId="51" fillId="0" borderId="1" xfId="0" applyFont="1" applyBorder="1" applyAlignment="1">
      <alignment horizontal="right"/>
    </xf>
    <xf numFmtId="0" fontId="51" fillId="0" borderId="1" xfId="0" applyFont="1" applyBorder="1" applyAlignment="1">
      <alignment horizontal="left"/>
    </xf>
    <xf numFmtId="164" fontId="51" fillId="0" borderId="1" xfId="0" applyNumberFormat="1" applyFont="1" applyBorder="1" applyAlignment="1">
      <alignment horizontal="right"/>
    </xf>
    <xf numFmtId="164" fontId="51" fillId="13" borderId="1" xfId="0" applyNumberFormat="1" applyFont="1" applyFill="1" applyBorder="1" applyAlignment="1">
      <alignment horizontal="right"/>
    </xf>
    <xf numFmtId="44" fontId="51" fillId="13" borderId="1" xfId="4" applyFont="1" applyFill="1" applyBorder="1" applyAlignment="1">
      <alignment horizontal="right"/>
    </xf>
    <xf numFmtId="0" fontId="52" fillId="4" borderId="1" xfId="0" applyFont="1" applyFill="1" applyBorder="1" applyAlignment="1">
      <alignment horizontal="left" indent="1"/>
    </xf>
    <xf numFmtId="43" fontId="52" fillId="0" borderId="1" xfId="0" applyNumberFormat="1" applyFont="1" applyBorder="1" applyAlignment="1">
      <alignment horizontal="center"/>
    </xf>
    <xf numFmtId="3" fontId="52" fillId="0" borderId="1" xfId="0" applyNumberFormat="1" applyFont="1" applyBorder="1" applyAlignment="1">
      <alignment horizontal="right"/>
    </xf>
    <xf numFmtId="0" fontId="52" fillId="0" borderId="1" xfId="0" applyFont="1" applyBorder="1" applyAlignment="1">
      <alignment horizontal="left"/>
    </xf>
    <xf numFmtId="164" fontId="52" fillId="0" borderId="1" xfId="0" applyNumberFormat="1" applyFont="1" applyBorder="1" applyAlignment="1">
      <alignment horizontal="right"/>
    </xf>
    <xf numFmtId="164" fontId="51" fillId="13" borderId="1" xfId="0" applyNumberFormat="1" applyFont="1" applyFill="1" applyBorder="1" applyAlignment="1">
      <alignment horizontal="center"/>
    </xf>
    <xf numFmtId="164" fontId="52" fillId="13" borderId="1" xfId="0" applyNumberFormat="1" applyFont="1" applyFill="1" applyBorder="1" applyAlignment="1">
      <alignment horizontal="right"/>
    </xf>
    <xf numFmtId="0" fontId="52" fillId="0" borderId="1" xfId="0" applyFont="1" applyBorder="1" applyAlignment="1">
      <alignment horizontal="left" indent="1"/>
    </xf>
    <xf numFmtId="0" fontId="52" fillId="0" borderId="1" xfId="2" applyFont="1" applyBorder="1" applyAlignment="1">
      <alignment horizontal="left"/>
    </xf>
    <xf numFmtId="0" fontId="22" fillId="0" borderId="38" xfId="0" applyFont="1" applyBorder="1" applyAlignment="1">
      <alignment horizontal="center"/>
    </xf>
    <xf numFmtId="0" fontId="25" fillId="0" borderId="38" xfId="0" applyFont="1" applyBorder="1" applyAlignment="1" applyProtection="1">
      <alignment horizontal="left" indent="1"/>
      <protection locked="0"/>
    </xf>
    <xf numFmtId="0" fontId="25" fillId="0" borderId="38" xfId="2" applyFont="1" applyBorder="1" applyAlignment="1">
      <alignment horizontal="center"/>
    </xf>
    <xf numFmtId="3" fontId="22" fillId="0" borderId="38" xfId="0" applyNumberFormat="1" applyFont="1" applyBorder="1" applyAlignment="1">
      <alignment horizontal="right"/>
    </xf>
    <xf numFmtId="0" fontId="25" fillId="0" borderId="38" xfId="2" applyFont="1" applyBorder="1" applyAlignment="1">
      <alignment horizontal="left"/>
    </xf>
    <xf numFmtId="164" fontId="24" fillId="13" borderId="38" xfId="0" applyNumberFormat="1" applyFont="1" applyFill="1" applyBorder="1" applyAlignment="1">
      <alignment horizontal="center"/>
    </xf>
    <xf numFmtId="166" fontId="22" fillId="0" borderId="38" xfId="3" applyNumberFormat="1" applyFont="1" applyBorder="1"/>
    <xf numFmtId="164" fontId="24" fillId="13" borderId="36" xfId="0" applyNumberFormat="1" applyFont="1" applyFill="1" applyBorder="1" applyAlignment="1">
      <alignment horizontal="center"/>
    </xf>
    <xf numFmtId="164" fontId="22" fillId="13" borderId="36" xfId="0" applyNumberFormat="1" applyFont="1" applyFill="1" applyBorder="1" applyAlignment="1">
      <alignment horizontal="right"/>
    </xf>
    <xf numFmtId="0" fontId="22" fillId="3" borderId="0" xfId="0" applyFont="1" applyFill="1" applyAlignment="1">
      <alignment horizontal="left"/>
    </xf>
    <xf numFmtId="49" fontId="8" fillId="0" borderId="36" xfId="1" applyNumberFormat="1" applyFont="1" applyBorder="1" applyAlignment="1">
      <alignment horizontal="center" vertical="center"/>
    </xf>
    <xf numFmtId="10" fontId="8" fillId="0" borderId="36" xfId="3" applyNumberFormat="1" applyFont="1" applyBorder="1" applyAlignment="1">
      <alignment horizontal="center" vertical="center"/>
    </xf>
    <xf numFmtId="44" fontId="8" fillId="0" borderId="36" xfId="4" applyFont="1" applyBorder="1" applyAlignment="1">
      <alignment horizontal="center" vertical="center"/>
    </xf>
    <xf numFmtId="44" fontId="53" fillId="0" borderId="1" xfId="4" applyFont="1" applyBorder="1" applyAlignment="1">
      <alignment vertical="center"/>
    </xf>
    <xf numFmtId="44" fontId="8" fillId="0" borderId="44" xfId="4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/>
    </xf>
    <xf numFmtId="10" fontId="8" fillId="0" borderId="1" xfId="3" applyNumberFormat="1" applyFont="1" applyBorder="1" applyAlignment="1">
      <alignment horizontal="center" vertical="center"/>
    </xf>
    <xf numFmtId="44" fontId="8" fillId="0" borderId="1" xfId="4" applyFont="1" applyBorder="1" applyAlignment="1">
      <alignment horizontal="center" vertical="center"/>
    </xf>
    <xf numFmtId="44" fontId="8" fillId="0" borderId="25" xfId="4" applyFont="1" applyBorder="1" applyAlignment="1">
      <alignment horizontal="center" vertical="center" wrapText="1"/>
    </xf>
    <xf numFmtId="49" fontId="8" fillId="0" borderId="18" xfId="1" applyNumberFormat="1" applyFont="1" applyBorder="1" applyAlignment="1">
      <alignment horizontal="center" vertical="center"/>
    </xf>
    <xf numFmtId="10" fontId="8" fillId="0" borderId="18" xfId="3" applyNumberFormat="1" applyFont="1" applyBorder="1" applyAlignment="1">
      <alignment horizontal="center" vertical="center"/>
    </xf>
    <xf numFmtId="44" fontId="8" fillId="0" borderId="18" xfId="4" applyFont="1" applyBorder="1" applyAlignment="1">
      <alignment horizontal="center" vertical="center"/>
    </xf>
    <xf numFmtId="44" fontId="53" fillId="0" borderId="18" xfId="4" applyFont="1" applyBorder="1" applyAlignment="1">
      <alignment vertical="center"/>
    </xf>
    <xf numFmtId="44" fontId="8" fillId="0" borderId="61" xfId="4" applyFont="1" applyBorder="1" applyAlignment="1">
      <alignment horizontal="center" vertical="center" wrapText="1"/>
    </xf>
    <xf numFmtId="43" fontId="24" fillId="0" borderId="0" xfId="1" applyFont="1"/>
    <xf numFmtId="170" fontId="22" fillId="0" borderId="27" xfId="0" applyNumberFormat="1" applyFont="1" applyBorder="1"/>
    <xf numFmtId="170" fontId="22" fillId="0" borderId="1" xfId="0" applyNumberFormat="1" applyFont="1" applyBorder="1"/>
    <xf numFmtId="170" fontId="22" fillId="0" borderId="38" xfId="0" applyNumberFormat="1" applyFont="1" applyBorder="1"/>
    <xf numFmtId="170" fontId="31" fillId="7" borderId="10" xfId="4" applyNumberFormat="1" applyFont="1" applyFill="1" applyBorder="1"/>
    <xf numFmtId="0" fontId="5" fillId="0" borderId="0" xfId="10" applyFont="1"/>
    <xf numFmtId="0" fontId="10" fillId="0" borderId="43" xfId="10" applyBorder="1"/>
    <xf numFmtId="44" fontId="0" fillId="0" borderId="36" xfId="12" applyFont="1" applyBorder="1"/>
    <xf numFmtId="0" fontId="10" fillId="0" borderId="21" xfId="10" applyBorder="1"/>
    <xf numFmtId="44" fontId="0" fillId="0" borderId="1" xfId="12" applyFont="1" applyBorder="1"/>
    <xf numFmtId="0" fontId="10" fillId="3" borderId="37" xfId="10" applyFill="1" applyBorder="1"/>
    <xf numFmtId="44" fontId="0" fillId="3" borderId="38" xfId="12" applyFont="1" applyFill="1" applyBorder="1"/>
    <xf numFmtId="0" fontId="56" fillId="0" borderId="43" xfId="10" applyFont="1" applyBorder="1" applyAlignment="1">
      <alignment vertical="center" wrapText="1"/>
    </xf>
    <xf numFmtId="0" fontId="56" fillId="0" borderId="36" xfId="10" applyFont="1" applyBorder="1" applyAlignment="1">
      <alignment horizontal="center" vertical="center" wrapText="1"/>
    </xf>
    <xf numFmtId="0" fontId="56" fillId="0" borderId="44" xfId="10" applyFont="1" applyBorder="1" applyAlignment="1">
      <alignment horizontal="center" vertical="center" wrapText="1"/>
    </xf>
    <xf numFmtId="168" fontId="0" fillId="0" borderId="1" xfId="13" applyNumberFormat="1" applyFont="1" applyBorder="1"/>
    <xf numFmtId="168" fontId="10" fillId="0" borderId="1" xfId="10" applyNumberFormat="1" applyBorder="1"/>
    <xf numFmtId="43" fontId="0" fillId="0" borderId="1" xfId="13" applyFont="1" applyBorder="1"/>
    <xf numFmtId="0" fontId="10" fillId="0" borderId="25" xfId="10" applyBorder="1"/>
    <xf numFmtId="43" fontId="10" fillId="0" borderId="25" xfId="10" applyNumberFormat="1" applyBorder="1"/>
    <xf numFmtId="0" fontId="5" fillId="0" borderId="21" xfId="10" applyFont="1" applyBorder="1"/>
    <xf numFmtId="168" fontId="10" fillId="3" borderId="1" xfId="10" applyNumberFormat="1" applyFill="1" applyBorder="1"/>
    <xf numFmtId="0" fontId="10" fillId="0" borderId="37" xfId="10" applyBorder="1"/>
    <xf numFmtId="168" fontId="0" fillId="0" borderId="38" xfId="13" applyNumberFormat="1" applyFont="1" applyBorder="1"/>
    <xf numFmtId="168" fontId="10" fillId="3" borderId="38" xfId="10" applyNumberFormat="1" applyFill="1" applyBorder="1"/>
    <xf numFmtId="43" fontId="0" fillId="0" borderId="38" xfId="13" applyFont="1" applyBorder="1"/>
    <xf numFmtId="43" fontId="10" fillId="0" borderId="39" xfId="10" applyNumberFormat="1" applyBorder="1"/>
    <xf numFmtId="0" fontId="5" fillId="0" borderId="7" xfId="10" applyFont="1" applyBorder="1"/>
    <xf numFmtId="0" fontId="5" fillId="0" borderId="8" xfId="10" applyFont="1" applyBorder="1"/>
    <xf numFmtId="0" fontId="19" fillId="0" borderId="7" xfId="10" applyFont="1" applyBorder="1"/>
    <xf numFmtId="0" fontId="5" fillId="4" borderId="0" xfId="10" applyFont="1" applyFill="1"/>
    <xf numFmtId="43" fontId="5" fillId="3" borderId="0" xfId="10" applyNumberFormat="1" applyFont="1" applyFill="1"/>
    <xf numFmtId="0" fontId="19" fillId="0" borderId="72" xfId="10" applyFont="1" applyBorder="1"/>
    <xf numFmtId="0" fontId="19" fillId="0" borderId="70" xfId="10" applyFont="1" applyBorder="1" applyAlignment="1">
      <alignment horizontal="center"/>
    </xf>
    <xf numFmtId="9" fontId="22" fillId="0" borderId="0" xfId="11" applyFont="1" applyBorder="1" applyAlignment="1">
      <alignment horizontal="center"/>
    </xf>
    <xf numFmtId="170" fontId="22" fillId="3" borderId="8" xfId="12" applyNumberFormat="1" applyFont="1" applyFill="1" applyBorder="1"/>
    <xf numFmtId="9" fontId="22" fillId="0" borderId="0" xfId="11" applyFont="1" applyBorder="1"/>
    <xf numFmtId="170" fontId="22" fillId="0" borderId="8" xfId="12" applyNumberFormat="1" applyFont="1" applyBorder="1"/>
    <xf numFmtId="44" fontId="22" fillId="3" borderId="0" xfId="12" applyFont="1" applyFill="1" applyBorder="1"/>
    <xf numFmtId="0" fontId="5" fillId="0" borderId="7" xfId="10" applyFont="1" applyBorder="1" applyAlignment="1">
      <alignment horizontal="left" indent="2"/>
    </xf>
    <xf numFmtId="44" fontId="22" fillId="0" borderId="0" xfId="12" applyFont="1" applyBorder="1"/>
    <xf numFmtId="0" fontId="34" fillId="0" borderId="7" xfId="10" applyFont="1" applyBorder="1" applyAlignment="1">
      <alignment horizontal="left" indent="2"/>
    </xf>
    <xf numFmtId="168" fontId="22" fillId="3" borderId="0" xfId="13" applyNumberFormat="1" applyFont="1" applyFill="1" applyBorder="1"/>
    <xf numFmtId="0" fontId="5" fillId="0" borderId="12" xfId="10" applyFont="1" applyBorder="1"/>
    <xf numFmtId="44" fontId="22" fillId="3" borderId="10" xfId="12" applyFont="1" applyFill="1" applyBorder="1"/>
    <xf numFmtId="0" fontId="5" fillId="0" borderId="10" xfId="10" applyFont="1" applyBorder="1"/>
    <xf numFmtId="0" fontId="5" fillId="0" borderId="11" xfId="10" applyFont="1" applyBorder="1"/>
    <xf numFmtId="0" fontId="56" fillId="0" borderId="36" xfId="10" applyFont="1" applyBorder="1" applyAlignment="1">
      <alignment horizontal="center" vertical="center"/>
    </xf>
    <xf numFmtId="0" fontId="19" fillId="3" borderId="1" xfId="8" applyFont="1" applyFill="1" applyBorder="1" applyAlignment="1">
      <alignment horizontal="center" vertical="center"/>
    </xf>
    <xf numFmtId="0" fontId="19" fillId="3" borderId="1" xfId="8" applyFont="1" applyFill="1" applyBorder="1" applyAlignment="1">
      <alignment horizontal="center" vertical="center" wrapText="1"/>
    </xf>
    <xf numFmtId="170" fontId="11" fillId="3" borderId="1" xfId="4" applyNumberFormat="1" applyFont="1" applyFill="1" applyBorder="1" applyAlignment="1">
      <alignment vertical="center"/>
    </xf>
    <xf numFmtId="10" fontId="11" fillId="3" borderId="1" xfId="3" applyNumberFormat="1" applyFont="1" applyFill="1" applyBorder="1" applyAlignment="1">
      <alignment vertical="center"/>
    </xf>
    <xf numFmtId="0" fontId="7" fillId="3" borderId="1" xfId="8" applyFont="1" applyFill="1" applyBorder="1" applyAlignment="1">
      <alignment vertical="center"/>
    </xf>
    <xf numFmtId="0" fontId="11" fillId="3" borderId="1" xfId="8" applyFill="1" applyBorder="1" applyAlignment="1">
      <alignment horizontal="center" vertical="center"/>
    </xf>
    <xf numFmtId="3" fontId="11" fillId="3" borderId="1" xfId="8" applyNumberFormat="1" applyFill="1" applyBorder="1" applyAlignment="1">
      <alignment horizontal="center" vertical="center"/>
    </xf>
    <xf numFmtId="43" fontId="11" fillId="3" borderId="1" xfId="8" applyNumberFormat="1" applyFill="1" applyBorder="1" applyAlignment="1">
      <alignment horizontal="center" vertical="center"/>
    </xf>
    <xf numFmtId="44" fontId="24" fillId="0" borderId="0" xfId="4" applyFont="1" applyAlignment="1">
      <alignment horizontal="center"/>
    </xf>
    <xf numFmtId="44" fontId="24" fillId="0" borderId="0" xfId="4" applyFont="1"/>
    <xf numFmtId="0" fontId="23" fillId="2" borderId="4" xfId="0" applyFont="1" applyFill="1" applyBorder="1"/>
    <xf numFmtId="0" fontId="23" fillId="2" borderId="7" xfId="0" applyFont="1" applyFill="1" applyBorder="1"/>
    <xf numFmtId="0" fontId="23" fillId="2" borderId="12" xfId="0" applyFont="1" applyFill="1" applyBorder="1"/>
    <xf numFmtId="0" fontId="27" fillId="7" borderId="26" xfId="0" applyFont="1" applyFill="1" applyBorder="1" applyAlignment="1">
      <alignment horizontal="center"/>
    </xf>
    <xf numFmtId="0" fontId="23" fillId="6" borderId="21" xfId="2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43" fillId="0" borderId="21" xfId="0" applyFont="1" applyBorder="1" applyAlignment="1">
      <alignment horizontal="center"/>
    </xf>
    <xf numFmtId="0" fontId="51" fillId="0" borderId="21" xfId="0" applyFont="1" applyBorder="1" applyAlignment="1">
      <alignment horizontal="center"/>
    </xf>
    <xf numFmtId="0" fontId="52" fillId="0" borderId="21" xfId="0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26" fillId="8" borderId="21" xfId="0" applyFont="1" applyFill="1" applyBorder="1" applyAlignment="1">
      <alignment horizontal="center"/>
    </xf>
    <xf numFmtId="0" fontId="27" fillId="7" borderId="41" xfId="0" applyFont="1" applyFill="1" applyBorder="1" applyAlignment="1">
      <alignment horizontal="center"/>
    </xf>
    <xf numFmtId="0" fontId="23" fillId="6" borderId="21" xfId="2" quotePrefix="1" applyFont="1" applyFill="1" applyBorder="1" applyAlignment="1">
      <alignment horizontal="center" vertical="center"/>
    </xf>
    <xf numFmtId="164" fontId="28" fillId="7" borderId="31" xfId="4" applyNumberFormat="1" applyFont="1" applyFill="1" applyBorder="1"/>
    <xf numFmtId="164" fontId="22" fillId="6" borderId="25" xfId="0" applyNumberFormat="1" applyFont="1" applyFill="1" applyBorder="1" applyAlignment="1">
      <alignment vertical="center"/>
    </xf>
    <xf numFmtId="164" fontId="24" fillId="13" borderId="18" xfId="0" applyNumberFormat="1" applyFont="1" applyFill="1" applyBorder="1" applyAlignment="1">
      <alignment horizontal="center"/>
    </xf>
    <xf numFmtId="164" fontId="28" fillId="7" borderId="1" xfId="4" applyNumberFormat="1" applyFont="1" applyFill="1" applyBorder="1"/>
    <xf numFmtId="164" fontId="26" fillId="8" borderId="1" xfId="0" applyNumberFormat="1" applyFont="1" applyFill="1" applyBorder="1"/>
    <xf numFmtId="164" fontId="28" fillId="7" borderId="27" xfId="4" applyNumberFormat="1" applyFont="1" applyFill="1" applyBorder="1"/>
    <xf numFmtId="0" fontId="4" fillId="0" borderId="77" xfId="8" applyFont="1" applyBorder="1" applyAlignment="1">
      <alignment vertical="center"/>
    </xf>
    <xf numFmtId="0" fontId="8" fillId="0" borderId="77" xfId="8" applyFont="1" applyBorder="1" applyAlignment="1">
      <alignment vertical="center"/>
    </xf>
    <xf numFmtId="0" fontId="8" fillId="0" borderId="67" xfId="8" applyFont="1" applyBorder="1" applyAlignment="1">
      <alignment vertical="center"/>
    </xf>
    <xf numFmtId="0" fontId="6" fillId="0" borderId="67" xfId="8" applyFont="1" applyBorder="1" applyAlignment="1">
      <alignment vertical="center"/>
    </xf>
    <xf numFmtId="0" fontId="8" fillId="0" borderId="78" xfId="8" applyFont="1" applyBorder="1" applyAlignment="1">
      <alignment vertical="center"/>
    </xf>
    <xf numFmtId="0" fontId="4" fillId="0" borderId="67" xfId="8" applyFont="1" applyBorder="1" applyAlignment="1">
      <alignment vertical="center"/>
    </xf>
    <xf numFmtId="44" fontId="8" fillId="0" borderId="36" xfId="4" applyFont="1" applyFill="1" applyBorder="1" applyAlignment="1">
      <alignment horizontal="center" vertical="center"/>
    </xf>
    <xf numFmtId="44" fontId="8" fillId="0" borderId="1" xfId="4" applyFont="1" applyFill="1" applyBorder="1" applyAlignment="1">
      <alignment horizontal="center" vertical="center"/>
    </xf>
    <xf numFmtId="0" fontId="22" fillId="3" borderId="0" xfId="0" applyFont="1" applyFill="1"/>
    <xf numFmtId="168" fontId="22" fillId="0" borderId="74" xfId="1" applyNumberFormat="1" applyFont="1" applyBorder="1"/>
    <xf numFmtId="168" fontId="22" fillId="0" borderId="75" xfId="1" applyNumberFormat="1" applyFont="1" applyBorder="1"/>
    <xf numFmtId="168" fontId="22" fillId="0" borderId="76" xfId="1" applyNumberFormat="1" applyFont="1" applyBorder="1"/>
    <xf numFmtId="9" fontId="22" fillId="3" borderId="0" xfId="3" applyFont="1" applyFill="1" applyBorder="1"/>
    <xf numFmtId="168" fontId="22" fillId="0" borderId="1" xfId="1" applyNumberFormat="1" applyFont="1" applyBorder="1" applyAlignment="1">
      <alignment horizontal="center"/>
    </xf>
    <xf numFmtId="168" fontId="22" fillId="9" borderId="0" xfId="1" applyNumberFormat="1" applyFont="1" applyFill="1" applyBorder="1" applyAlignment="1">
      <alignment horizontal="right"/>
    </xf>
    <xf numFmtId="43" fontId="22" fillId="0" borderId="10" xfId="0" applyNumberFormat="1" applyFont="1" applyBorder="1"/>
    <xf numFmtId="43" fontId="22" fillId="0" borderId="11" xfId="0" applyNumberFormat="1" applyFont="1" applyBorder="1"/>
    <xf numFmtId="168" fontId="24" fillId="0" borderId="5" xfId="1" applyNumberFormat="1" applyFont="1" applyBorder="1"/>
    <xf numFmtId="168" fontId="24" fillId="0" borderId="6" xfId="1" applyNumberFormat="1" applyFont="1" applyBorder="1"/>
    <xf numFmtId="0" fontId="24" fillId="0" borderId="7" xfId="0" applyFont="1" applyBorder="1"/>
    <xf numFmtId="0" fontId="24" fillId="0" borderId="12" xfId="0" applyFont="1" applyBorder="1"/>
    <xf numFmtId="168" fontId="22" fillId="3" borderId="73" xfId="1" applyNumberFormat="1" applyFont="1" applyFill="1" applyBorder="1"/>
    <xf numFmtId="0" fontId="22" fillId="3" borderId="73" xfId="0" applyFont="1" applyFill="1" applyBorder="1"/>
    <xf numFmtId="9" fontId="22" fillId="0" borderId="0" xfId="0" applyNumberFormat="1" applyFont="1"/>
    <xf numFmtId="0" fontId="22" fillId="0" borderId="0" xfId="0" applyFont="1" applyAlignment="1">
      <alignment wrapText="1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164" fontId="24" fillId="0" borderId="13" xfId="0" applyNumberFormat="1" applyFont="1" applyBorder="1" applyAlignment="1">
      <alignment horizontal="center" vertical="center"/>
    </xf>
    <xf numFmtId="164" fontId="24" fillId="13" borderId="13" xfId="0" applyNumberFormat="1" applyFont="1" applyFill="1" applyBorder="1" applyAlignment="1">
      <alignment horizontal="center" vertical="center"/>
    </xf>
    <xf numFmtId="164" fontId="24" fillId="0" borderId="14" xfId="0" applyNumberFormat="1" applyFont="1" applyBorder="1" applyAlignment="1">
      <alignment horizontal="center" vertical="center"/>
    </xf>
    <xf numFmtId="0" fontId="58" fillId="0" borderId="0" xfId="14"/>
    <xf numFmtId="43" fontId="22" fillId="0" borderId="8" xfId="1" applyFont="1" applyBorder="1"/>
    <xf numFmtId="0" fontId="24" fillId="0" borderId="10" xfId="0" applyFont="1" applyBorder="1"/>
    <xf numFmtId="43" fontId="22" fillId="15" borderId="0" xfId="1" applyFont="1" applyFill="1" applyBorder="1"/>
    <xf numFmtId="3" fontId="22" fillId="15" borderId="1" xfId="0" applyNumberFormat="1" applyFont="1" applyFill="1" applyBorder="1"/>
    <xf numFmtId="0" fontId="22" fillId="15" borderId="1" xfId="0" applyFont="1" applyFill="1" applyBorder="1" applyAlignment="1" applyProtection="1">
      <alignment horizontal="left" indent="1"/>
      <protection locked="0"/>
    </xf>
    <xf numFmtId="168" fontId="22" fillId="15" borderId="1" xfId="1" applyNumberFormat="1" applyFont="1" applyFill="1" applyBorder="1" applyAlignment="1">
      <alignment horizontal="center"/>
    </xf>
    <xf numFmtId="0" fontId="58" fillId="0" borderId="0" xfId="14" applyBorder="1"/>
    <xf numFmtId="168" fontId="22" fillId="15" borderId="0" xfId="1" applyNumberFormat="1" applyFont="1" applyFill="1" applyBorder="1"/>
    <xf numFmtId="43" fontId="22" fillId="15" borderId="1" xfId="0" applyNumberFormat="1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 indent="1"/>
    </xf>
    <xf numFmtId="43" fontId="0" fillId="0" borderId="0" xfId="0" applyNumberFormat="1"/>
    <xf numFmtId="0" fontId="45" fillId="0" borderId="0" xfId="0" applyFont="1"/>
    <xf numFmtId="0" fontId="3" fillId="0" borderId="0" xfId="10" applyFont="1"/>
    <xf numFmtId="0" fontId="2" fillId="0" borderId="67" xfId="8" applyFont="1" applyBorder="1" applyAlignment="1">
      <alignment vertical="center"/>
    </xf>
    <xf numFmtId="10" fontId="22" fillId="3" borderId="1" xfId="3" applyNumberFormat="1" applyFont="1" applyFill="1" applyBorder="1"/>
    <xf numFmtId="0" fontId="19" fillId="0" borderId="0" xfId="10" applyFont="1"/>
    <xf numFmtId="49" fontId="8" fillId="3" borderId="36" xfId="1" applyNumberFormat="1" applyFont="1" applyFill="1" applyBorder="1" applyAlignment="1">
      <alignment horizontal="center" vertical="center"/>
    </xf>
    <xf numFmtId="10" fontId="8" fillId="3" borderId="36" xfId="3" applyNumberFormat="1" applyFont="1" applyFill="1" applyBorder="1" applyAlignment="1">
      <alignment horizontal="center" vertical="center"/>
    </xf>
    <xf numFmtId="44" fontId="1" fillId="3" borderId="36" xfId="4" applyFont="1" applyFill="1" applyBorder="1" applyAlignment="1">
      <alignment horizontal="center" vertical="center"/>
    </xf>
    <xf numFmtId="44" fontId="1" fillId="3" borderId="44" xfId="4" applyFont="1" applyFill="1" applyBorder="1" applyAlignment="1">
      <alignment horizontal="center" vertical="center" wrapText="1"/>
    </xf>
    <xf numFmtId="0" fontId="11" fillId="3" borderId="73" xfId="8" applyFill="1" applyBorder="1"/>
    <xf numFmtId="0" fontId="60" fillId="0" borderId="0" xfId="8" applyFont="1" applyAlignment="1">
      <alignment vertical="center"/>
    </xf>
    <xf numFmtId="0" fontId="1" fillId="3" borderId="0" xfId="8" applyFont="1" applyFill="1"/>
    <xf numFmtId="0" fontId="61" fillId="0" borderId="1" xfId="0" applyFont="1" applyBorder="1" applyAlignment="1">
      <alignment horizontal="center" vertical="top"/>
    </xf>
    <xf numFmtId="0" fontId="48" fillId="13" borderId="0" xfId="0" applyFont="1" applyFill="1" applyAlignment="1">
      <alignment horizontal="center"/>
    </xf>
    <xf numFmtId="3" fontId="24" fillId="2" borderId="10" xfId="0" applyNumberFormat="1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14" fontId="24" fillId="2" borderId="0" xfId="0" applyNumberFormat="1" applyFont="1" applyFill="1" applyAlignment="1">
      <alignment horizontal="center"/>
    </xf>
    <xf numFmtId="0" fontId="24" fillId="11" borderId="0" xfId="0" applyFont="1" applyFill="1" applyAlignment="1">
      <alignment horizontal="center" vertical="center" wrapText="1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2" fillId="14" borderId="15" xfId="0" applyFont="1" applyFill="1" applyBorder="1" applyAlignment="1">
      <alignment horizontal="center"/>
    </xf>
    <xf numFmtId="0" fontId="22" fillId="14" borderId="9" xfId="0" applyFont="1" applyFill="1" applyBorder="1" applyAlignment="1">
      <alignment horizontal="center"/>
    </xf>
    <xf numFmtId="0" fontId="22" fillId="14" borderId="16" xfId="0" applyFont="1" applyFill="1" applyBorder="1" applyAlignment="1">
      <alignment horizontal="center"/>
    </xf>
    <xf numFmtId="0" fontId="24" fillId="1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top"/>
    </xf>
    <xf numFmtId="0" fontId="24" fillId="10" borderId="0" xfId="0" applyFont="1" applyFill="1" applyAlignment="1">
      <alignment horizontal="center" vertical="center" wrapText="1"/>
    </xf>
    <xf numFmtId="0" fontId="22" fillId="0" borderId="17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4" fillId="0" borderId="26" xfId="0" applyFont="1" applyBorder="1" applyAlignment="1">
      <alignment horizontal="left" vertical="top"/>
    </xf>
    <xf numFmtId="0" fontId="24" fillId="0" borderId="21" xfId="0" applyFont="1" applyBorder="1" applyAlignment="1">
      <alignment horizontal="left" vertical="top"/>
    </xf>
    <xf numFmtId="0" fontId="24" fillId="0" borderId="23" xfId="0" applyFont="1" applyBorder="1" applyAlignment="1">
      <alignment horizontal="left" vertical="top"/>
    </xf>
    <xf numFmtId="0" fontId="24" fillId="0" borderId="26" xfId="0" applyFont="1" applyBorder="1" applyAlignment="1">
      <alignment horizontal="left" vertical="top" wrapText="1"/>
    </xf>
    <xf numFmtId="0" fontId="24" fillId="0" borderId="21" xfId="0" applyFont="1" applyBorder="1" applyAlignment="1">
      <alignment horizontal="left" vertical="top" wrapText="1"/>
    </xf>
    <xf numFmtId="0" fontId="24" fillId="0" borderId="23" xfId="0" applyFont="1" applyBorder="1" applyAlignment="1">
      <alignment horizontal="left" vertical="top" wrapText="1"/>
    </xf>
    <xf numFmtId="0" fontId="22" fillId="0" borderId="27" xfId="0" applyFont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31" fillId="7" borderId="9" xfId="0" applyFont="1" applyFill="1" applyBorder="1" applyAlignment="1">
      <alignment horizontal="center" vertical="center"/>
    </xf>
    <xf numFmtId="0" fontId="31" fillId="7" borderId="16" xfId="0" applyFont="1" applyFill="1" applyBorder="1" applyAlignment="1">
      <alignment horizontal="center" vertical="center"/>
    </xf>
    <xf numFmtId="0" fontId="22" fillId="0" borderId="28" xfId="0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30" xfId="0" applyFont="1" applyBorder="1" applyAlignment="1">
      <alignment horizontal="center"/>
    </xf>
    <xf numFmtId="0" fontId="32" fillId="7" borderId="34" xfId="0" applyFont="1" applyFill="1" applyBorder="1" applyAlignment="1">
      <alignment horizontal="left" vertical="center"/>
    </xf>
    <xf numFmtId="0" fontId="32" fillId="7" borderId="35" xfId="0" applyFont="1" applyFill="1" applyBorder="1" applyAlignment="1">
      <alignment horizontal="left" vertical="center"/>
    </xf>
    <xf numFmtId="0" fontId="22" fillId="0" borderId="0" xfId="0" applyFont="1" applyAlignment="1">
      <alignment horizontal="center"/>
    </xf>
    <xf numFmtId="10" fontId="22" fillId="0" borderId="19" xfId="3" applyNumberFormat="1" applyFont="1" applyBorder="1" applyAlignment="1">
      <alignment horizontal="center"/>
    </xf>
    <xf numFmtId="10" fontId="22" fillId="0" borderId="20" xfId="3" applyNumberFormat="1" applyFont="1" applyBorder="1" applyAlignment="1">
      <alignment horizontal="center"/>
    </xf>
    <xf numFmtId="10" fontId="22" fillId="0" borderId="24" xfId="3" applyNumberFormat="1" applyFont="1" applyBorder="1" applyAlignment="1">
      <alignment horizontal="center"/>
    </xf>
    <xf numFmtId="0" fontId="22" fillId="0" borderId="0" xfId="0" applyFont="1" applyAlignment="1">
      <alignment horizontal="left"/>
    </xf>
    <xf numFmtId="0" fontId="32" fillId="7" borderId="9" xfId="0" applyFont="1" applyFill="1" applyBorder="1" applyAlignment="1">
      <alignment horizontal="left" vertical="center"/>
    </xf>
    <xf numFmtId="0" fontId="32" fillId="7" borderId="16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0" borderId="38" xfId="0" applyFont="1" applyBorder="1" applyAlignment="1">
      <alignment horizontal="center"/>
    </xf>
    <xf numFmtId="0" fontId="22" fillId="0" borderId="39" xfId="0" applyFont="1" applyBorder="1" applyAlignment="1">
      <alignment horizontal="center"/>
    </xf>
    <xf numFmtId="0" fontId="26" fillId="7" borderId="9" xfId="0" applyFont="1" applyFill="1" applyBorder="1" applyAlignment="1">
      <alignment horizontal="left" vertical="center"/>
    </xf>
    <xf numFmtId="0" fontId="26" fillId="7" borderId="16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left" vertical="top"/>
    </xf>
    <xf numFmtId="0" fontId="24" fillId="0" borderId="58" xfId="0" applyFont="1" applyBorder="1" applyAlignment="1">
      <alignment horizontal="left" vertical="top"/>
    </xf>
    <xf numFmtId="0" fontId="24" fillId="0" borderId="59" xfId="0" applyFont="1" applyBorder="1" applyAlignment="1">
      <alignment horizontal="left" vertical="top"/>
    </xf>
    <xf numFmtId="0" fontId="32" fillId="7" borderId="20" xfId="0" applyFont="1" applyFill="1" applyBorder="1" applyAlignment="1">
      <alignment horizontal="left"/>
    </xf>
    <xf numFmtId="0" fontId="32" fillId="7" borderId="24" xfId="0" applyFont="1" applyFill="1" applyBorder="1" applyAlignment="1">
      <alignment horizontal="left"/>
    </xf>
    <xf numFmtId="0" fontId="26" fillId="7" borderId="10" xfId="0" applyFont="1" applyFill="1" applyBorder="1" applyAlignment="1">
      <alignment horizontal="left"/>
    </xf>
    <xf numFmtId="0" fontId="26" fillId="7" borderId="11" xfId="0" applyFont="1" applyFill="1" applyBorder="1" applyAlignment="1">
      <alignment horizontal="left"/>
    </xf>
    <xf numFmtId="0" fontId="13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 indent="3"/>
    </xf>
    <xf numFmtId="0" fontId="0" fillId="0" borderId="0" xfId="0" applyAlignment="1">
      <alignment horizontal="left" indent="3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9" fillId="0" borderId="0" xfId="0" applyFont="1" applyAlignment="1">
      <alignment horizontal="center"/>
    </xf>
    <xf numFmtId="0" fontId="57" fillId="7" borderId="15" xfId="10" applyFont="1" applyFill="1" applyBorder="1" applyAlignment="1">
      <alignment horizontal="center"/>
    </xf>
    <xf numFmtId="0" fontId="57" fillId="7" borderId="9" xfId="10" applyFont="1" applyFill="1" applyBorder="1" applyAlignment="1">
      <alignment horizontal="center"/>
    </xf>
    <xf numFmtId="0" fontId="57" fillId="7" borderId="16" xfId="10" applyFont="1" applyFill="1" applyBorder="1" applyAlignment="1">
      <alignment horizontal="center"/>
    </xf>
    <xf numFmtId="0" fontId="55" fillId="7" borderId="41" xfId="10" applyFont="1" applyFill="1" applyBorder="1" applyAlignment="1">
      <alignment horizontal="center"/>
    </xf>
    <xf numFmtId="0" fontId="55" fillId="7" borderId="42" xfId="10" applyFont="1" applyFill="1" applyBorder="1" applyAlignment="1">
      <alignment horizontal="center"/>
    </xf>
    <xf numFmtId="0" fontId="55" fillId="7" borderId="60" xfId="10" applyFont="1" applyFill="1" applyBorder="1" applyAlignment="1">
      <alignment horizontal="center"/>
    </xf>
    <xf numFmtId="0" fontId="10" fillId="3" borderId="71" xfId="10" applyFill="1" applyBorder="1" applyAlignment="1">
      <alignment horizontal="left"/>
    </xf>
    <xf numFmtId="0" fontId="10" fillId="3" borderId="34" xfId="10" applyFill="1" applyBorder="1" applyAlignment="1">
      <alignment horizontal="left"/>
    </xf>
    <xf numFmtId="0" fontId="10" fillId="3" borderId="35" xfId="10" applyFill="1" applyBorder="1" applyAlignment="1">
      <alignment horizontal="left"/>
    </xf>
    <xf numFmtId="0" fontId="10" fillId="0" borderId="69" xfId="10" applyBorder="1" applyAlignment="1">
      <alignment horizontal="left"/>
    </xf>
    <xf numFmtId="0" fontId="10" fillId="0" borderId="2" xfId="10" applyBorder="1" applyAlignment="1">
      <alignment horizontal="left"/>
    </xf>
    <xf numFmtId="0" fontId="10" fillId="0" borderId="70" xfId="10" applyBorder="1" applyAlignment="1">
      <alignment horizontal="left"/>
    </xf>
    <xf numFmtId="0" fontId="10" fillId="0" borderId="17" xfId="10" applyBorder="1" applyAlignment="1">
      <alignment horizontal="left"/>
    </xf>
    <xf numFmtId="0" fontId="10" fillId="0" borderId="3" xfId="10" applyBorder="1" applyAlignment="1">
      <alignment horizontal="left"/>
    </xf>
    <xf numFmtId="0" fontId="10" fillId="0" borderId="22" xfId="10" applyBorder="1" applyAlignment="1">
      <alignment horizontal="left"/>
    </xf>
    <xf numFmtId="0" fontId="9" fillId="0" borderId="48" xfId="10" applyFont="1" applyBorder="1" applyAlignment="1">
      <alignment horizontal="left" indent="2"/>
    </xf>
    <xf numFmtId="0" fontId="9" fillId="0" borderId="49" xfId="10" applyFont="1" applyBorder="1" applyAlignment="1">
      <alignment horizontal="left" indent="2"/>
    </xf>
    <xf numFmtId="0" fontId="19" fillId="9" borderId="48" xfId="10" applyFont="1" applyFill="1" applyBorder="1" applyAlignment="1">
      <alignment horizontal="left" indent="1"/>
    </xf>
    <xf numFmtId="0" fontId="19" fillId="9" borderId="49" xfId="10" applyFont="1" applyFill="1" applyBorder="1" applyAlignment="1">
      <alignment horizontal="left" indent="1"/>
    </xf>
    <xf numFmtId="0" fontId="19" fillId="9" borderId="45" xfId="10" applyFont="1" applyFill="1" applyBorder="1" applyAlignment="1">
      <alignment horizontal="left" indent="1"/>
    </xf>
    <xf numFmtId="0" fontId="19" fillId="9" borderId="46" xfId="10" applyFont="1" applyFill="1" applyBorder="1" applyAlignment="1">
      <alignment horizontal="left" indent="1"/>
    </xf>
    <xf numFmtId="0" fontId="37" fillId="0" borderId="0" xfId="10" applyFont="1" applyAlignment="1">
      <alignment horizontal="center" vertical="center"/>
    </xf>
    <xf numFmtId="0" fontId="38" fillId="0" borderId="0" xfId="10" applyFont="1" applyAlignment="1">
      <alignment horizontal="center" vertical="center"/>
    </xf>
    <xf numFmtId="0" fontId="44" fillId="7" borderId="41" xfId="0" applyFont="1" applyFill="1" applyBorder="1" applyAlignment="1">
      <alignment horizontal="left" vertical="center"/>
    </xf>
    <xf numFmtId="0" fontId="44" fillId="7" borderId="42" xfId="0" applyFont="1" applyFill="1" applyBorder="1" applyAlignment="1">
      <alignment horizontal="left" vertical="center"/>
    </xf>
    <xf numFmtId="0" fontId="19" fillId="0" borderId="48" xfId="10" applyFont="1" applyBorder="1" applyAlignment="1">
      <alignment horizontal="center"/>
    </xf>
    <xf numFmtId="0" fontId="19" fillId="0" borderId="49" xfId="10" applyFont="1" applyBorder="1" applyAlignment="1">
      <alignment horizontal="center"/>
    </xf>
    <xf numFmtId="0" fontId="19" fillId="0" borderId="50" xfId="10" applyFont="1" applyBorder="1" applyAlignment="1">
      <alignment horizontal="center"/>
    </xf>
    <xf numFmtId="0" fontId="9" fillId="0" borderId="54" xfId="10" applyFont="1" applyBorder="1" applyAlignment="1">
      <alignment horizontal="left" indent="2"/>
    </xf>
    <xf numFmtId="0" fontId="9" fillId="0" borderId="55" xfId="10" applyFont="1" applyBorder="1" applyAlignment="1">
      <alignment horizontal="left" indent="2"/>
    </xf>
    <xf numFmtId="0" fontId="19" fillId="0" borderId="51" xfId="10" applyFont="1" applyBorder="1" applyAlignment="1">
      <alignment horizontal="center"/>
    </xf>
    <xf numFmtId="0" fontId="19" fillId="0" borderId="52" xfId="10" applyFont="1" applyBorder="1" applyAlignment="1">
      <alignment horizontal="center"/>
    </xf>
    <xf numFmtId="0" fontId="19" fillId="0" borderId="53" xfId="10" applyFont="1" applyBorder="1" applyAlignment="1">
      <alignment horizontal="center"/>
    </xf>
    <xf numFmtId="0" fontId="19" fillId="0" borderId="62" xfId="10" applyFont="1" applyBorder="1" applyAlignment="1">
      <alignment horizontal="center"/>
    </xf>
    <xf numFmtId="0" fontId="19" fillId="0" borderId="63" xfId="10" applyFont="1" applyBorder="1" applyAlignment="1">
      <alignment horizontal="center"/>
    </xf>
    <xf numFmtId="0" fontId="19" fillId="0" borderId="64" xfId="10" applyFont="1" applyBorder="1" applyAlignment="1">
      <alignment horizontal="center"/>
    </xf>
    <xf numFmtId="0" fontId="9" fillId="0" borderId="48" xfId="10" applyFont="1" applyBorder="1" applyAlignment="1">
      <alignment horizontal="left" indent="1"/>
    </xf>
    <xf numFmtId="0" fontId="9" fillId="0" borderId="49" xfId="10" applyFont="1" applyBorder="1" applyAlignment="1">
      <alignment horizontal="left" indent="1"/>
    </xf>
    <xf numFmtId="0" fontId="44" fillId="7" borderId="15" xfId="0" applyFont="1" applyFill="1" applyBorder="1" applyAlignment="1">
      <alignment horizontal="left" vertical="center"/>
    </xf>
    <xf numFmtId="0" fontId="44" fillId="7" borderId="9" xfId="0" applyFont="1" applyFill="1" applyBorder="1" applyAlignment="1">
      <alignment horizontal="left" vertical="center"/>
    </xf>
    <xf numFmtId="0" fontId="44" fillId="7" borderId="66" xfId="0" applyFont="1" applyFill="1" applyBorder="1" applyAlignment="1">
      <alignment horizontal="left" vertical="center"/>
    </xf>
    <xf numFmtId="0" fontId="40" fillId="7" borderId="65" xfId="0" applyFont="1" applyFill="1" applyBorder="1" applyAlignment="1">
      <alignment horizontal="center" vertical="center"/>
    </xf>
    <xf numFmtId="0" fontId="40" fillId="7" borderId="66" xfId="0" applyFont="1" applyFill="1" applyBorder="1" applyAlignment="1">
      <alignment horizontal="center" vertical="center"/>
    </xf>
    <xf numFmtId="0" fontId="40" fillId="7" borderId="15" xfId="10" applyFont="1" applyFill="1" applyBorder="1" applyAlignment="1">
      <alignment horizontal="center"/>
    </xf>
    <xf numFmtId="0" fontId="40" fillId="7" borderId="16" xfId="10" applyFont="1" applyFill="1" applyBorder="1" applyAlignment="1">
      <alignment horizontal="center"/>
    </xf>
    <xf numFmtId="0" fontId="10" fillId="0" borderId="9" xfId="10" applyBorder="1" applyAlignment="1">
      <alignment horizontal="center"/>
    </xf>
    <xf numFmtId="0" fontId="21" fillId="0" borderId="0" xfId="8" applyFont="1" applyAlignment="1">
      <alignment horizontal="center"/>
    </xf>
    <xf numFmtId="0" fontId="11" fillId="0" borderId="2" xfId="8" applyBorder="1" applyAlignment="1">
      <alignment horizontal="center"/>
    </xf>
    <xf numFmtId="0" fontId="29" fillId="7" borderId="15" xfId="0" applyFont="1" applyFill="1" applyBorder="1" applyAlignment="1">
      <alignment horizontal="left" vertical="center"/>
    </xf>
    <xf numFmtId="0" fontId="29" fillId="7" borderId="66" xfId="0" applyFont="1" applyFill="1" applyBorder="1" applyAlignment="1">
      <alignment horizontal="left" vertical="center"/>
    </xf>
    <xf numFmtId="0" fontId="9" fillId="0" borderId="15" xfId="8" applyFont="1" applyBorder="1" applyAlignment="1">
      <alignment horizontal="left"/>
    </xf>
    <xf numFmtId="0" fontId="9" fillId="0" borderId="66" xfId="8" applyFont="1" applyBorder="1" applyAlignment="1">
      <alignment horizontal="left"/>
    </xf>
    <xf numFmtId="0" fontId="40" fillId="7" borderId="15" xfId="0" applyFont="1" applyFill="1" applyBorder="1" applyAlignment="1">
      <alignment horizontal="left" vertical="center"/>
    </xf>
    <xf numFmtId="0" fontId="40" fillId="7" borderId="9" xfId="0" applyFont="1" applyFill="1" applyBorder="1" applyAlignment="1">
      <alignment horizontal="left" vertical="center"/>
    </xf>
    <xf numFmtId="0" fontId="40" fillId="7" borderId="66" xfId="0" applyFont="1" applyFill="1" applyBorder="1" applyAlignment="1">
      <alignment horizontal="left" vertical="center"/>
    </xf>
    <xf numFmtId="0" fontId="20" fillId="0" borderId="0" xfId="8" applyFont="1" applyAlignment="1">
      <alignment horizontal="center"/>
    </xf>
    <xf numFmtId="0" fontId="19" fillId="3" borderId="1" xfId="8" applyFont="1" applyFill="1" applyBorder="1" applyAlignment="1">
      <alignment horizontal="center" vertical="center"/>
    </xf>
    <xf numFmtId="0" fontId="42" fillId="0" borderId="3" xfId="8" applyFont="1" applyBorder="1" applyAlignment="1">
      <alignment horizontal="center"/>
    </xf>
    <xf numFmtId="0" fontId="42" fillId="0" borderId="2" xfId="8" applyFont="1" applyBorder="1" applyAlignment="1">
      <alignment horizontal="center"/>
    </xf>
    <xf numFmtId="44" fontId="53" fillId="3" borderId="28" xfId="4" applyFont="1" applyFill="1" applyBorder="1" applyAlignment="1">
      <alignment horizontal="center" vertical="center"/>
    </xf>
    <xf numFmtId="44" fontId="53" fillId="3" borderId="68" xfId="4" applyFont="1" applyFill="1" applyBorder="1" applyAlignment="1">
      <alignment horizontal="center" vertical="center"/>
    </xf>
  </cellXfs>
  <cellStyles count="15">
    <cellStyle name="Comma" xfId="1" builtinId="3"/>
    <cellStyle name="Comma 2" xfId="13" xr:uid="{FCB1E7E7-72EE-41DB-BB0A-93B75EB9305D}"/>
    <cellStyle name="Currency" xfId="4" builtinId="4"/>
    <cellStyle name="Currency 2" xfId="6" xr:uid="{00000000-0005-0000-0000-000002000000}"/>
    <cellStyle name="Currency 3" xfId="9" xr:uid="{D36E1BF7-A62E-4466-805E-581218A698A6}"/>
    <cellStyle name="Currency 4" xfId="12" xr:uid="{658EDB30-8F35-4E6F-B117-1BBA5A32F341}"/>
    <cellStyle name="Hyperlink" xfId="14" builtinId="8"/>
    <cellStyle name="Narrow Right Line" xfId="2" xr:uid="{00000000-0005-0000-0000-000003000000}"/>
    <cellStyle name="Normal" xfId="0" builtinId="0"/>
    <cellStyle name="Normal 2" xfId="5" xr:uid="{00000000-0005-0000-0000-000005000000}"/>
    <cellStyle name="Normal 3" xfId="7" xr:uid="{24947794-D76D-475D-BA82-82DA8ACDAEAF}"/>
    <cellStyle name="Normal 4" xfId="8" xr:uid="{52C9AD7C-49B3-49B5-8B03-25AAF58D3BA8}"/>
    <cellStyle name="Normal 5" xfId="10" xr:uid="{B1F1A3B5-C051-4812-B23A-F4BAC346924D}"/>
    <cellStyle name="Percent" xfId="3" builtinId="5"/>
    <cellStyle name="Percent 2" xfId="11" xr:uid="{F5EB0B84-5E3A-4EFF-B933-9F3A489856FD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$C$10" lockText="1"/>
</file>

<file path=xl/ctrlProps/ctrlProp2.xml><?xml version="1.0" encoding="utf-8"?>
<formControlPr xmlns="http://schemas.microsoft.com/office/spreadsheetml/2009/9/main" objectType="CheckBox" fmlaLink="$C$11" lockText="1"/>
</file>

<file path=xl/ctrlProps/ctrlProp3.xml><?xml version="1.0" encoding="utf-8"?>
<formControlPr xmlns="http://schemas.microsoft.com/office/spreadsheetml/2009/9/main" objectType="CheckBox" fmlaLink="$C$12" lockText="1"/>
</file>

<file path=xl/ctrlProps/ctrlProp4.xml><?xml version="1.0" encoding="utf-8"?>
<formControlPr xmlns="http://schemas.microsoft.com/office/spreadsheetml/2009/9/main" objectType="CheckBox" fmlaLink="$C$13" lockText="1"/>
</file>

<file path=xl/ctrlProps/ctrlProp5.xml><?xml version="1.0" encoding="utf-8"?>
<formControlPr xmlns="http://schemas.microsoft.com/office/spreadsheetml/2009/9/main" objectType="CheckBox" fmlaLink="$C$18" lockText="1"/>
</file>

<file path=xl/ctrlProps/ctrlProp6.xml><?xml version="1.0" encoding="utf-8"?>
<formControlPr xmlns="http://schemas.microsoft.com/office/spreadsheetml/2009/9/main" objectType="CheckBox" fmlaLink="$C$19" lockText="1"/>
</file>

<file path=xl/ctrlProps/ctrlProp7.xml><?xml version="1.0" encoding="utf-8"?>
<formControlPr xmlns="http://schemas.microsoft.com/office/spreadsheetml/2009/9/main" objectType="CheckBox" fmlaLink="$C$20" lockText="1"/>
</file>

<file path=xl/ctrlProps/ctrlProp8.xml><?xml version="1.0" encoding="utf-8"?>
<formControlPr xmlns="http://schemas.microsoft.com/office/spreadsheetml/2009/9/main" objectType="CheckBox" fmlaLink="$C$21" lockText="1"/>
</file>

<file path=xl/ctrlProps/ctrlProp9.xml><?xml version="1.0" encoding="utf-8"?>
<formControlPr xmlns="http://schemas.microsoft.com/office/spreadsheetml/2009/9/main" objectType="CheckBox" fmlaLink="$C$23" lockText="1"/>
</file>

<file path=xl/ctrlProps/ctrlProp10.xml><?xml version="1.0" encoding="utf-8"?>
<formControlPr xmlns="http://schemas.microsoft.com/office/spreadsheetml/2009/9/main" objectType="CheckBox" fmlaLink="$C$24" lockText="1"/>
</file>

<file path=xl/ctrlProps/ctrlProp11.xml><?xml version="1.0" encoding="utf-8"?>
<formControlPr xmlns="http://schemas.microsoft.com/office/spreadsheetml/2009/9/main" objectType="CheckBox" fmlaLink="$C$25" lockText="1"/>
</file>

<file path=xl/ctrlProps/ctrlProp12.xml><?xml version="1.0" encoding="utf-8"?>
<formControlPr xmlns="http://schemas.microsoft.com/office/spreadsheetml/2009/9/main" objectType="CheckBox" fmlaLink="$C$26" lockText="1"/>
</file>

<file path=xl/ctrlProps/ctrlProp13.xml><?xml version="1.0" encoding="utf-8"?>
<formControlPr xmlns="http://schemas.microsoft.com/office/spreadsheetml/2009/9/main" objectType="CheckBox" fmlaLink="$C$32" lockText="1"/>
</file>

<file path=xl/ctrlProps/ctrlProp14.xml><?xml version="1.0" encoding="utf-8"?>
<formControlPr xmlns="http://schemas.microsoft.com/office/spreadsheetml/2009/9/main" objectType="CheckBox" fmlaLink="$C$28" lockText="1"/>
</file>

<file path=xl/ctrlProps/ctrlProp15.xml><?xml version="1.0" encoding="utf-8"?>
<formControlPr xmlns="http://schemas.microsoft.com/office/spreadsheetml/2009/9/main" objectType="CheckBox" fmlaLink="$C$29" lockText="1"/>
</file>

<file path=xl/ctrlProps/ctrlProp16.xml><?xml version="1.0" encoding="utf-8"?>
<formControlPr xmlns="http://schemas.microsoft.com/office/spreadsheetml/2009/9/main" objectType="CheckBox" fmlaLink="$C$30" lockText="1"/>
</file>

<file path=xl/ctrlProps/ctrlProp17.xml><?xml version="1.0" encoding="utf-8"?>
<formControlPr xmlns="http://schemas.microsoft.com/office/spreadsheetml/2009/9/main" objectType="CheckBox" fmlaLink="$C$14" lockText="1"/>
</file>

<file path=xl/ctrlProps/ctrlProp18.xml><?xml version="1.0" encoding="utf-8"?>
<formControlPr xmlns="http://schemas.microsoft.com/office/spreadsheetml/2009/9/main" objectType="CheckBox" fmlaLink="$C$16" lockText="1"/>
</file>

<file path=xl/ctrlProps/ctrlProp19.xml><?xml version="1.0" encoding="utf-8"?>
<formControlPr xmlns="http://schemas.microsoft.com/office/spreadsheetml/2009/9/main" objectType="CheckBox" fmlaLink="$C$31" lockText="1"/>
</file>

<file path=xl/ctrlProps/ctrlProp20.xml><?xml version="1.0" encoding="utf-8"?>
<formControlPr xmlns="http://schemas.microsoft.com/office/spreadsheetml/2009/9/main" objectType="CheckBox" checked="Checked" fmlaLink="$C$40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133351</xdr:rowOff>
    </xdr:from>
    <xdr:to>
      <xdr:col>1</xdr:col>
      <xdr:colOff>1152617</xdr:colOff>
      <xdr:row>2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67988C-A6E0-4F7A-9200-889C83BF5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850" y="133351"/>
          <a:ext cx="1295584" cy="6603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533262</xdr:colOff>
      <xdr:row>2</xdr:row>
      <xdr:rowOff>28022</xdr:rowOff>
    </xdr:from>
    <xdr:to>
      <xdr:col>2</xdr:col>
      <xdr:colOff>210671</xdr:colOff>
      <xdr:row>5</xdr:row>
      <xdr:rowOff>16566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7618ED-28BA-4AB3-88B8-7FB80791C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3785" y="397979"/>
          <a:ext cx="1105209" cy="5848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1</xdr:row>
      <xdr:rowOff>76200</xdr:rowOff>
    </xdr:from>
    <xdr:to>
      <xdr:col>4</xdr:col>
      <xdr:colOff>1056354</xdr:colOff>
      <xdr:row>6</xdr:row>
      <xdr:rowOff>182468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FB159C-3D5A-7C23-A06B-A06A4B4FA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8425" y="314325"/>
          <a:ext cx="1094454" cy="11063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104775</xdr:rowOff>
    </xdr:from>
    <xdr:to>
      <xdr:col>1</xdr:col>
      <xdr:colOff>457425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0AFC2A-FDF8-4033-8093-5B4CEEDA3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104775"/>
          <a:ext cx="476475" cy="533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8</xdr:row>
          <xdr:rowOff>177800</xdr:rowOff>
        </xdr:from>
        <xdr:to>
          <xdr:col>2</xdr:col>
          <xdr:colOff>635000</xdr:colOff>
          <xdr:row>10</xdr:row>
          <xdr:rowOff>12700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FF00" mc:Ignorable="a14" a14:legacySpreadsheetColorIndex="11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10</xdr:row>
          <xdr:rowOff>0</xdr:rowOff>
        </xdr:from>
        <xdr:to>
          <xdr:col>2</xdr:col>
          <xdr:colOff>635000</xdr:colOff>
          <xdr:row>11</xdr:row>
          <xdr:rowOff>25400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10</xdr:row>
          <xdr:rowOff>177800</xdr:rowOff>
        </xdr:from>
        <xdr:to>
          <xdr:col>2</xdr:col>
          <xdr:colOff>635000</xdr:colOff>
          <xdr:row>12</xdr:row>
          <xdr:rowOff>12700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12</xdr:row>
          <xdr:rowOff>0</xdr:rowOff>
        </xdr:from>
        <xdr:to>
          <xdr:col>2</xdr:col>
          <xdr:colOff>635000</xdr:colOff>
          <xdr:row>13</xdr:row>
          <xdr:rowOff>25400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16</xdr:row>
          <xdr:rowOff>177800</xdr:rowOff>
        </xdr:from>
        <xdr:to>
          <xdr:col>2</xdr:col>
          <xdr:colOff>635000</xdr:colOff>
          <xdr:row>18</xdr:row>
          <xdr:rowOff>12700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4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18</xdr:row>
          <xdr:rowOff>0</xdr:rowOff>
        </xdr:from>
        <xdr:to>
          <xdr:col>2</xdr:col>
          <xdr:colOff>635000</xdr:colOff>
          <xdr:row>19</xdr:row>
          <xdr:rowOff>12700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4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18</xdr:row>
          <xdr:rowOff>177800</xdr:rowOff>
        </xdr:from>
        <xdr:to>
          <xdr:col>2</xdr:col>
          <xdr:colOff>635000</xdr:colOff>
          <xdr:row>20</xdr:row>
          <xdr:rowOff>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4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20</xdr:row>
          <xdr:rowOff>0</xdr:rowOff>
        </xdr:from>
        <xdr:to>
          <xdr:col>2</xdr:col>
          <xdr:colOff>635000</xdr:colOff>
          <xdr:row>21</xdr:row>
          <xdr:rowOff>12700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4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21</xdr:row>
          <xdr:rowOff>177800</xdr:rowOff>
        </xdr:from>
        <xdr:to>
          <xdr:col>2</xdr:col>
          <xdr:colOff>635000</xdr:colOff>
          <xdr:row>22</xdr:row>
          <xdr:rowOff>88900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4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23</xdr:row>
          <xdr:rowOff>0</xdr:rowOff>
        </xdr:from>
        <xdr:to>
          <xdr:col>2</xdr:col>
          <xdr:colOff>635000</xdr:colOff>
          <xdr:row>24</xdr:row>
          <xdr:rowOff>25400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23</xdr:row>
          <xdr:rowOff>177800</xdr:rowOff>
        </xdr:from>
        <xdr:to>
          <xdr:col>2</xdr:col>
          <xdr:colOff>635000</xdr:colOff>
          <xdr:row>25</xdr:row>
          <xdr:rowOff>12700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4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25</xdr:row>
          <xdr:rowOff>0</xdr:rowOff>
        </xdr:from>
        <xdr:to>
          <xdr:col>2</xdr:col>
          <xdr:colOff>635000</xdr:colOff>
          <xdr:row>26</xdr:row>
          <xdr:rowOff>25400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4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30</xdr:row>
          <xdr:rowOff>177800</xdr:rowOff>
        </xdr:from>
        <xdr:to>
          <xdr:col>2</xdr:col>
          <xdr:colOff>635000</xdr:colOff>
          <xdr:row>32</xdr:row>
          <xdr:rowOff>12700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4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27</xdr:row>
          <xdr:rowOff>0</xdr:rowOff>
        </xdr:from>
        <xdr:to>
          <xdr:col>2</xdr:col>
          <xdr:colOff>635000</xdr:colOff>
          <xdr:row>28</xdr:row>
          <xdr:rowOff>25400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4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27</xdr:row>
          <xdr:rowOff>177800</xdr:rowOff>
        </xdr:from>
        <xdr:to>
          <xdr:col>2</xdr:col>
          <xdr:colOff>635000</xdr:colOff>
          <xdr:row>29</xdr:row>
          <xdr:rowOff>12700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4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29</xdr:row>
          <xdr:rowOff>0</xdr:rowOff>
        </xdr:from>
        <xdr:to>
          <xdr:col>2</xdr:col>
          <xdr:colOff>635000</xdr:colOff>
          <xdr:row>30</xdr:row>
          <xdr:rowOff>25400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4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12</xdr:row>
          <xdr:rowOff>177800</xdr:rowOff>
        </xdr:from>
        <xdr:to>
          <xdr:col>2</xdr:col>
          <xdr:colOff>635000</xdr:colOff>
          <xdr:row>14</xdr:row>
          <xdr:rowOff>12700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4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14</xdr:row>
          <xdr:rowOff>177800</xdr:rowOff>
        </xdr:from>
        <xdr:to>
          <xdr:col>2</xdr:col>
          <xdr:colOff>635000</xdr:colOff>
          <xdr:row>16</xdr:row>
          <xdr:rowOff>12700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4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30</xdr:row>
          <xdr:rowOff>0</xdr:rowOff>
        </xdr:from>
        <xdr:to>
          <xdr:col>2</xdr:col>
          <xdr:colOff>635000</xdr:colOff>
          <xdr:row>31</xdr:row>
          <xdr:rowOff>25400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4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165100</xdr:colOff>
          <xdr:row>38</xdr:row>
          <xdr:rowOff>177800</xdr:rowOff>
        </xdr:from>
        <xdr:to>
          <xdr:col>2</xdr:col>
          <xdr:colOff>635000</xdr:colOff>
          <xdr:row>40</xdr:row>
          <xdr:rowOff>12700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4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FF00" mc:Ignorable="a14" a14:legacySpreadsheetColorIndex="11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1</xdr:row>
      <xdr:rowOff>9525</xdr:rowOff>
    </xdr:from>
    <xdr:to>
      <xdr:col>3</xdr:col>
      <xdr:colOff>152400</xdr:colOff>
      <xdr:row>6</xdr:row>
      <xdr:rowOff>29872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E92193-0308-44C5-8E02-0BDFC0AB9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209550"/>
          <a:ext cx="1009650" cy="9918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457201</xdr:colOff>
      <xdr:row>0</xdr:row>
      <xdr:rowOff>114300</xdr:rowOff>
    </xdr:from>
    <xdr:to>
      <xdr:col>1</xdr:col>
      <xdr:colOff>1447801</xdr:colOff>
      <xdr:row>3</xdr:row>
      <xdr:rowOff>47943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227691-3CE1-41E5-8654-BB366BAFE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1" y="114300"/>
          <a:ext cx="990600" cy="886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ithonia.acuitybrands.com/products/detail/593818/lithonia-lighting/ibg-high-bay/i-beamr-ibg-configurable-led-high-bay" TargetMode="External"/><Relationship Id="rId1" Type="http://schemas.openxmlformats.org/officeDocument/2006/relationships/hyperlink" Target="https://www.visual-3d.com/tools/interior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10"/>
  <sheetViews>
    <sheetView showFormulas="1" topLeftCell="A8" zoomScaleNormal="100" workbookViewId="0">
      <selection activeCell="E25" sqref="E25"/>
    </sheetView>
  </sheetViews>
  <sheetFormatPr defaultColWidth="9.1796875" defaultRowHeight="13" x14ac:dyDescent="0.3"/>
  <cols>
    <col min="1" max="1" width="2.36328125" style="3" customWidth="1"/>
    <col min="2" max="2" width="36" style="3" bestFit="1" customWidth="1"/>
    <col min="3" max="3" width="19.36328125" style="3" customWidth="1"/>
    <col min="4" max="4" width="7.1796875" style="3" customWidth="1"/>
    <col min="5" max="5" width="53.36328125" style="3" customWidth="1"/>
    <col min="6" max="6" width="11" style="3" bestFit="1" customWidth="1"/>
    <col min="7" max="7" width="11.81640625" style="3" bestFit="1" customWidth="1"/>
    <col min="8" max="8" width="11" style="3" bestFit="1" customWidth="1"/>
    <col min="9" max="9" width="11.26953125" style="3" customWidth="1"/>
    <col min="10" max="10" width="12" style="3" customWidth="1"/>
    <col min="11" max="11" width="6" style="3" bestFit="1" customWidth="1"/>
    <col min="12" max="12" width="10.6328125" style="3" customWidth="1"/>
    <col min="13" max="13" width="12" style="3" customWidth="1"/>
    <col min="14" max="16384" width="9.1796875" style="3"/>
  </cols>
  <sheetData>
    <row r="1" spans="1:6" ht="12.75" customHeight="1" x14ac:dyDescent="0.3"/>
    <row r="2" spans="1:6" ht="33.75" customHeight="1" x14ac:dyDescent="0.5">
      <c r="A2" s="510" t="s">
        <v>953</v>
      </c>
      <c r="B2" s="510"/>
      <c r="C2" s="510"/>
      <c r="D2" s="510"/>
      <c r="E2" s="510"/>
      <c r="F2" s="510"/>
    </row>
    <row r="3" spans="1:6" ht="39.75" customHeight="1" x14ac:dyDescent="0.3">
      <c r="A3" s="511" t="s">
        <v>954</v>
      </c>
      <c r="B3" s="511"/>
      <c r="C3" s="511"/>
      <c r="D3" s="511"/>
      <c r="E3" s="511"/>
      <c r="F3" s="511"/>
    </row>
    <row r="4" spans="1:6" ht="16" customHeight="1" x14ac:dyDescent="0.3"/>
    <row r="5" spans="1:6" ht="16" customHeight="1" x14ac:dyDescent="0.3">
      <c r="B5" s="243" t="s">
        <v>973</v>
      </c>
    </row>
    <row r="6" spans="1:6" ht="16" customHeight="1" x14ac:dyDescent="0.3"/>
    <row r="7" spans="1:6" ht="16" customHeight="1" x14ac:dyDescent="0.3">
      <c r="A7" s="5"/>
      <c r="B7" s="244" t="s">
        <v>955</v>
      </c>
      <c r="C7" s="5"/>
      <c r="D7" s="5"/>
      <c r="E7" s="139" t="s">
        <v>974</v>
      </c>
    </row>
    <row r="8" spans="1:6" ht="16" customHeight="1" x14ac:dyDescent="0.3">
      <c r="A8" s="5"/>
      <c r="B8" s="5" t="s">
        <v>956</v>
      </c>
      <c r="C8" s="280" t="s">
        <v>1386</v>
      </c>
      <c r="D8" s="5"/>
    </row>
    <row r="9" spans="1:6" ht="16" customHeight="1" x14ac:dyDescent="0.3">
      <c r="A9" s="5"/>
      <c r="B9" s="5" t="s">
        <v>957</v>
      </c>
      <c r="C9" s="280"/>
      <c r="D9" s="5"/>
    </row>
    <row r="10" spans="1:6" ht="16" customHeight="1" x14ac:dyDescent="0.3">
      <c r="A10" s="5"/>
      <c r="B10" s="5" t="s">
        <v>958</v>
      </c>
      <c r="C10" s="280" t="s">
        <v>1387</v>
      </c>
      <c r="D10" s="5"/>
    </row>
    <row r="11" spans="1:6" ht="16" customHeight="1" x14ac:dyDescent="0.3">
      <c r="A11" s="5"/>
      <c r="B11" s="5" t="s">
        <v>931</v>
      </c>
      <c r="C11" s="280"/>
      <c r="D11" s="5"/>
    </row>
    <row r="12" spans="1:6" ht="16" customHeight="1" x14ac:dyDescent="0.3">
      <c r="A12" s="5"/>
      <c r="B12" s="5" t="s">
        <v>959</v>
      </c>
      <c r="C12" s="280"/>
      <c r="D12" s="5"/>
    </row>
    <row r="13" spans="1:6" ht="16" customHeight="1" x14ac:dyDescent="0.3">
      <c r="A13" s="5"/>
      <c r="B13" s="5" t="s">
        <v>960</v>
      </c>
      <c r="C13" s="280"/>
      <c r="D13" s="5"/>
    </row>
    <row r="14" spans="1:6" ht="16" customHeight="1" x14ac:dyDescent="0.3">
      <c r="A14" s="5"/>
      <c r="B14" s="5" t="s">
        <v>961</v>
      </c>
      <c r="C14" s="280"/>
      <c r="D14" s="5"/>
    </row>
    <row r="15" spans="1:6" ht="16" customHeight="1" x14ac:dyDescent="0.3">
      <c r="A15" s="5"/>
      <c r="B15" s="5" t="s">
        <v>962</v>
      </c>
      <c r="C15" s="280"/>
      <c r="D15" s="5"/>
    </row>
    <row r="16" spans="1:6" ht="16" customHeight="1" x14ac:dyDescent="0.3">
      <c r="A16" s="5"/>
      <c r="B16" s="5" t="s">
        <v>963</v>
      </c>
      <c r="C16" s="280"/>
      <c r="D16" s="5"/>
    </row>
    <row r="17" spans="1:4" ht="16" customHeight="1" x14ac:dyDescent="0.3">
      <c r="A17" s="5"/>
      <c r="B17" s="5" t="s">
        <v>964</v>
      </c>
      <c r="C17" s="280"/>
      <c r="D17" s="5"/>
    </row>
    <row r="18" spans="1:4" ht="16" customHeight="1" x14ac:dyDescent="0.3">
      <c r="A18" s="5"/>
      <c r="B18" s="5" t="s">
        <v>965</v>
      </c>
      <c r="C18" s="280"/>
      <c r="D18" s="5"/>
    </row>
    <row r="19" spans="1:4" ht="16" customHeight="1" x14ac:dyDescent="0.3">
      <c r="A19" s="5"/>
      <c r="B19" s="5" t="s">
        <v>1235</v>
      </c>
      <c r="C19" s="280"/>
      <c r="D19" s="5"/>
    </row>
    <row r="20" spans="1:4" ht="16" customHeight="1" x14ac:dyDescent="0.3">
      <c r="A20" s="5"/>
      <c r="B20" s="5"/>
      <c r="C20" s="239"/>
      <c r="D20" s="5"/>
    </row>
    <row r="21" spans="1:4" ht="16" customHeight="1" x14ac:dyDescent="0.3">
      <c r="A21" s="5"/>
      <c r="B21" s="244" t="s">
        <v>968</v>
      </c>
      <c r="C21" s="239"/>
      <c r="D21" s="5"/>
    </row>
    <row r="22" spans="1:4" ht="16" customHeight="1" x14ac:dyDescent="0.3">
      <c r="A22" s="5"/>
      <c r="B22" s="5" t="s">
        <v>969</v>
      </c>
      <c r="C22" s="238"/>
      <c r="D22" s="5" t="s">
        <v>606</v>
      </c>
    </row>
    <row r="23" spans="1:4" ht="16" customHeight="1" x14ac:dyDescent="0.3">
      <c r="A23" s="5"/>
      <c r="B23" s="5" t="s">
        <v>970</v>
      </c>
      <c r="C23" s="238"/>
      <c r="D23" s="5" t="s">
        <v>606</v>
      </c>
    </row>
    <row r="24" spans="1:4" ht="16" customHeight="1" x14ac:dyDescent="0.3">
      <c r="A24" s="5"/>
      <c r="B24" s="5" t="s">
        <v>971</v>
      </c>
      <c r="C24" s="238">
        <v>0.5</v>
      </c>
      <c r="D24" s="5" t="s">
        <v>606</v>
      </c>
    </row>
    <row r="25" spans="1:4" ht="16" customHeight="1" x14ac:dyDescent="0.3">
      <c r="A25" s="5"/>
      <c r="B25" s="5" t="s">
        <v>937</v>
      </c>
      <c r="C25" s="240">
        <f>SUM(C22:C23)</f>
        <v>0</v>
      </c>
      <c r="D25" s="5" t="s">
        <v>606</v>
      </c>
    </row>
    <row r="26" spans="1:4" ht="16" customHeight="1" x14ac:dyDescent="0.3">
      <c r="A26" s="5"/>
      <c r="B26" s="5"/>
      <c r="C26" s="5"/>
      <c r="D26" s="5"/>
    </row>
    <row r="27" spans="1:4" ht="16" customHeight="1" x14ac:dyDescent="0.3">
      <c r="A27" s="5"/>
      <c r="B27" s="244" t="s">
        <v>966</v>
      </c>
      <c r="D27" s="5"/>
    </row>
    <row r="28" spans="1:4" ht="16" customHeight="1" x14ac:dyDescent="0.3">
      <c r="A28" s="5"/>
      <c r="B28" s="5" t="s">
        <v>967</v>
      </c>
      <c r="C28" s="238"/>
      <c r="D28" s="5" t="s">
        <v>37</v>
      </c>
    </row>
    <row r="29" spans="1:4" ht="16" customHeight="1" x14ac:dyDescent="0.3">
      <c r="A29" s="5"/>
      <c r="B29" s="5"/>
      <c r="D29" s="5"/>
    </row>
    <row r="30" spans="1:4" ht="16" customHeight="1" x14ac:dyDescent="0.3">
      <c r="A30" s="5"/>
      <c r="B30" s="244" t="s">
        <v>972</v>
      </c>
      <c r="D30" s="5"/>
    </row>
    <row r="31" spans="1:4" ht="16" customHeight="1" x14ac:dyDescent="0.3">
      <c r="A31" s="5"/>
      <c r="B31" s="5" t="s">
        <v>923</v>
      </c>
      <c r="C31" s="238">
        <v>0</v>
      </c>
      <c r="D31" s="5" t="s">
        <v>40</v>
      </c>
    </row>
    <row r="32" spans="1:4" ht="16" customHeight="1" x14ac:dyDescent="0.3">
      <c r="A32" s="5"/>
      <c r="B32" s="5" t="s">
        <v>975</v>
      </c>
      <c r="C32" s="238">
        <v>0</v>
      </c>
      <c r="D32" s="5" t="s">
        <v>3</v>
      </c>
    </row>
    <row r="33" spans="1:13" ht="16" customHeight="1" x14ac:dyDescent="0.3">
      <c r="A33" s="5"/>
      <c r="B33" s="5" t="s">
        <v>976</v>
      </c>
      <c r="C33" s="238">
        <v>0</v>
      </c>
      <c r="D33" s="5" t="s">
        <v>3</v>
      </c>
    </row>
    <row r="34" spans="1:13" ht="16" customHeight="1" x14ac:dyDescent="0.3">
      <c r="A34" s="5"/>
      <c r="B34" s="5" t="s">
        <v>979</v>
      </c>
      <c r="C34" s="240">
        <f>C32*C33</f>
        <v>0</v>
      </c>
      <c r="D34" s="5" t="s">
        <v>1</v>
      </c>
      <c r="E34" s="3" t="s">
        <v>980</v>
      </c>
    </row>
    <row r="35" spans="1:13" ht="16" customHeight="1" x14ac:dyDescent="0.3">
      <c r="A35" s="5"/>
      <c r="B35" s="5" t="s">
        <v>977</v>
      </c>
      <c r="C35" s="240">
        <f>(C32+C33)*2</f>
        <v>0</v>
      </c>
      <c r="D35" s="5" t="s">
        <v>3</v>
      </c>
      <c r="E35" s="3" t="s">
        <v>978</v>
      </c>
    </row>
    <row r="36" spans="1:13" ht="16" customHeight="1" x14ac:dyDescent="0.3">
      <c r="A36" s="5"/>
      <c r="B36" s="5" t="s">
        <v>985</v>
      </c>
      <c r="D36" s="5"/>
      <c r="I36" s="512" t="s">
        <v>1061</v>
      </c>
      <c r="J36" s="512"/>
      <c r="L36" s="503" t="s">
        <v>1201</v>
      </c>
      <c r="M36" s="503"/>
    </row>
    <row r="37" spans="1:13" ht="16" customHeight="1" x14ac:dyDescent="0.3">
      <c r="A37" s="5"/>
      <c r="B37" s="259" t="s">
        <v>265</v>
      </c>
      <c r="C37" s="238">
        <f>C34-C38-C39-C40-C41-C42</f>
        <v>0</v>
      </c>
      <c r="D37" s="5" t="s">
        <v>1</v>
      </c>
      <c r="I37" s="512"/>
      <c r="J37" s="512"/>
      <c r="L37" s="503"/>
      <c r="M37" s="503"/>
    </row>
    <row r="38" spans="1:13" ht="16" customHeight="1" x14ac:dyDescent="0.3">
      <c r="A38" s="5"/>
      <c r="B38" s="259" t="s">
        <v>386</v>
      </c>
      <c r="C38" s="238">
        <v>0</v>
      </c>
      <c r="D38" s="5" t="s">
        <v>1</v>
      </c>
      <c r="I38" s="264" t="s">
        <v>1055</v>
      </c>
      <c r="J38" s="265">
        <f>C33</f>
        <v>0</v>
      </c>
      <c r="L38" s="268" t="s">
        <v>1055</v>
      </c>
      <c r="M38" s="269">
        <f>C32</f>
        <v>0</v>
      </c>
    </row>
    <row r="39" spans="1:13" ht="16" customHeight="1" x14ac:dyDescent="0.3">
      <c r="A39" s="5"/>
      <c r="B39" s="259" t="s">
        <v>981</v>
      </c>
      <c r="C39" s="238">
        <v>0</v>
      </c>
      <c r="D39" s="5" t="s">
        <v>1</v>
      </c>
      <c r="I39" s="264" t="s">
        <v>1057</v>
      </c>
      <c r="J39" s="265">
        <f>C52*IF(C48="Cross Dock",2,1)</f>
        <v>120</v>
      </c>
      <c r="L39" s="268"/>
      <c r="M39" s="269"/>
    </row>
    <row r="40" spans="1:13" ht="16" customHeight="1" x14ac:dyDescent="0.3">
      <c r="A40" s="5"/>
      <c r="B40" s="259" t="s">
        <v>982</v>
      </c>
      <c r="C40" s="238">
        <v>0</v>
      </c>
      <c r="D40" s="5" t="s">
        <v>1</v>
      </c>
      <c r="I40" s="264" t="s">
        <v>1058</v>
      </c>
      <c r="J40" s="265">
        <f>J38-J39</f>
        <v>-120</v>
      </c>
      <c r="L40" s="268" t="s">
        <v>1058</v>
      </c>
      <c r="M40" s="269">
        <f>M38/C50</f>
        <v>0</v>
      </c>
    </row>
    <row r="41" spans="1:13" ht="16" customHeight="1" x14ac:dyDescent="0.3">
      <c r="A41" s="5"/>
      <c r="B41" s="259" t="s">
        <v>983</v>
      </c>
      <c r="C41" s="238">
        <v>0</v>
      </c>
      <c r="D41" s="5" t="s">
        <v>1</v>
      </c>
      <c r="I41" s="264" t="s">
        <v>1059</v>
      </c>
      <c r="J41" s="265">
        <f>IF(C48="Cross Dock",2,1)</f>
        <v>2</v>
      </c>
      <c r="L41" s="268"/>
      <c r="M41" s="268"/>
    </row>
    <row r="42" spans="1:13" ht="16" customHeight="1" x14ac:dyDescent="0.3">
      <c r="A42" s="5"/>
      <c r="B42" s="259" t="s">
        <v>984</v>
      </c>
      <c r="C42" s="238">
        <v>0</v>
      </c>
      <c r="D42" s="5" t="s">
        <v>1</v>
      </c>
      <c r="I42" s="264" t="s">
        <v>1058</v>
      </c>
      <c r="J42" s="265">
        <f>J40/C51</f>
        <v>-2.4</v>
      </c>
      <c r="L42" s="268"/>
      <c r="M42" s="268"/>
    </row>
    <row r="43" spans="1:13" ht="16" customHeight="1" x14ac:dyDescent="0.3">
      <c r="A43" s="5"/>
      <c r="B43" s="5" t="s">
        <v>41</v>
      </c>
      <c r="C43" s="240">
        <f>IF(SUM(C37:C42)=0,C34,SUM(C37:C42))</f>
        <v>0</v>
      </c>
      <c r="D43" s="5" t="s">
        <v>1</v>
      </c>
      <c r="I43" s="266" t="s">
        <v>1060</v>
      </c>
      <c r="J43" s="267">
        <f>ROUNDUP(J41+J42,0)</f>
        <v>-1</v>
      </c>
      <c r="L43" s="270" t="s">
        <v>1060</v>
      </c>
      <c r="M43" s="271">
        <f>ROUNDUP(M40,0)</f>
        <v>0</v>
      </c>
    </row>
    <row r="44" spans="1:13" ht="16" customHeight="1" x14ac:dyDescent="0.3">
      <c r="A44" s="5"/>
      <c r="B44" s="5" t="s">
        <v>986</v>
      </c>
      <c r="C44" s="241"/>
      <c r="D44" s="5"/>
      <c r="I44" s="266" t="s">
        <v>117</v>
      </c>
      <c r="J44" s="267">
        <f>J43-1</f>
        <v>-2</v>
      </c>
      <c r="L44" s="270" t="s">
        <v>117</v>
      </c>
      <c r="M44" s="271">
        <f>M43-1</f>
        <v>-1</v>
      </c>
    </row>
    <row r="45" spans="1:13" ht="16" customHeight="1" x14ac:dyDescent="0.3">
      <c r="A45" s="5"/>
      <c r="B45" s="5" t="s">
        <v>987</v>
      </c>
      <c r="C45" s="241"/>
      <c r="D45" s="5"/>
    </row>
    <row r="46" spans="1:13" ht="16" customHeight="1" x14ac:dyDescent="0.3">
      <c r="A46" s="5"/>
      <c r="B46" s="5" t="s">
        <v>988</v>
      </c>
      <c r="C46" s="238">
        <v>26</v>
      </c>
      <c r="D46" s="5"/>
      <c r="I46" s="509" t="s">
        <v>1062</v>
      </c>
      <c r="J46" s="509"/>
    </row>
    <row r="47" spans="1:13" ht="16" customHeight="1" x14ac:dyDescent="0.3">
      <c r="A47" s="5"/>
      <c r="B47" s="5" t="s">
        <v>989</v>
      </c>
      <c r="C47" s="238">
        <f>IF(C43=0,0,1)</f>
        <v>0</v>
      </c>
      <c r="D47" s="5"/>
      <c r="H47" s="245"/>
      <c r="I47" s="272" t="s">
        <v>1063</v>
      </c>
      <c r="J47" s="273">
        <f>M43*J43</f>
        <v>0</v>
      </c>
    </row>
    <row r="48" spans="1:13" ht="16" customHeight="1" x14ac:dyDescent="0.3">
      <c r="A48" s="5"/>
      <c r="B48" s="5" t="s">
        <v>990</v>
      </c>
      <c r="C48" s="238" t="s">
        <v>992</v>
      </c>
      <c r="D48" s="5"/>
      <c r="E48" s="3" t="s">
        <v>1200</v>
      </c>
      <c r="I48" s="272" t="s">
        <v>1064</v>
      </c>
      <c r="J48" s="273">
        <f>M44*J44</f>
        <v>2</v>
      </c>
    </row>
    <row r="49" spans="1:8" ht="16" customHeight="1" x14ac:dyDescent="0.3">
      <c r="A49" s="5"/>
      <c r="B49" s="5" t="s">
        <v>991</v>
      </c>
      <c r="C49" s="240">
        <f>IF(C48="N/A",0,IF(C48="Single Load",C32,C32*2))</f>
        <v>0</v>
      </c>
      <c r="D49" s="5" t="s">
        <v>3</v>
      </c>
    </row>
    <row r="50" spans="1:8" ht="16" customHeight="1" x14ac:dyDescent="0.3">
      <c r="A50" s="5"/>
      <c r="B50" s="5" t="s">
        <v>1051</v>
      </c>
      <c r="C50" s="238">
        <v>54</v>
      </c>
      <c r="D50" s="5" t="s">
        <v>3</v>
      </c>
    </row>
    <row r="51" spans="1:8" ht="16" customHeight="1" x14ac:dyDescent="0.3">
      <c r="A51" s="5"/>
      <c r="B51" s="5" t="s">
        <v>1052</v>
      </c>
      <c r="C51" s="238">
        <v>50</v>
      </c>
      <c r="D51" s="5" t="s">
        <v>3</v>
      </c>
    </row>
    <row r="52" spans="1:8" ht="16" customHeight="1" x14ac:dyDescent="0.3">
      <c r="A52" s="5"/>
      <c r="B52" s="5" t="s">
        <v>1053</v>
      </c>
      <c r="C52" s="238">
        <v>60</v>
      </c>
      <c r="D52" s="5" t="s">
        <v>3</v>
      </c>
    </row>
    <row r="53" spans="1:8" ht="16" customHeight="1" x14ac:dyDescent="0.3">
      <c r="A53" s="5"/>
      <c r="B53" s="5"/>
      <c r="C53" s="241"/>
      <c r="D53" s="5"/>
    </row>
    <row r="54" spans="1:8" ht="16" customHeight="1" x14ac:dyDescent="0.3">
      <c r="A54" s="5"/>
      <c r="B54" s="276" t="s">
        <v>993</v>
      </c>
    </row>
    <row r="55" spans="1:8" ht="16" customHeight="1" x14ac:dyDescent="0.3">
      <c r="A55" s="5"/>
      <c r="B55" s="275" t="s">
        <v>1048</v>
      </c>
    </row>
    <row r="56" spans="1:8" ht="16" customHeight="1" x14ac:dyDescent="0.3">
      <c r="A56" s="5"/>
      <c r="B56" s="259" t="s">
        <v>1239</v>
      </c>
      <c r="C56" s="238">
        <v>0</v>
      </c>
      <c r="D56" s="3" t="s">
        <v>38</v>
      </c>
      <c r="E56" s="3" t="s">
        <v>1254</v>
      </c>
      <c r="G56" s="178">
        <v>35</v>
      </c>
      <c r="H56" s="3" t="s">
        <v>1255</v>
      </c>
    </row>
    <row r="57" spans="1:8" ht="16" customHeight="1" x14ac:dyDescent="0.3">
      <c r="A57" s="5"/>
      <c r="B57" s="259" t="s">
        <v>1056</v>
      </c>
      <c r="C57" s="240"/>
      <c r="G57" s="179">
        <f>C50</f>
        <v>54</v>
      </c>
      <c r="H57" s="3" t="s">
        <v>1256</v>
      </c>
    </row>
    <row r="58" spans="1:8" ht="16" customHeight="1" x14ac:dyDescent="0.3">
      <c r="A58" s="5"/>
      <c r="B58" s="274" t="s">
        <v>1054</v>
      </c>
      <c r="C58" s="238">
        <v>3</v>
      </c>
      <c r="D58" s="3" t="s">
        <v>40</v>
      </c>
      <c r="G58" s="179">
        <f>C51</f>
        <v>50</v>
      </c>
      <c r="H58" s="3" t="s">
        <v>1257</v>
      </c>
    </row>
    <row r="59" spans="1:8" ht="16" customHeight="1" x14ac:dyDescent="0.3">
      <c r="A59" s="5"/>
      <c r="B59" s="274" t="s">
        <v>1055</v>
      </c>
      <c r="C59" s="238">
        <v>1.5</v>
      </c>
      <c r="D59" s="3" t="s">
        <v>40</v>
      </c>
      <c r="G59" s="178">
        <v>2000</v>
      </c>
      <c r="H59" s="3" t="s">
        <v>1258</v>
      </c>
    </row>
    <row r="60" spans="1:8" ht="16" customHeight="1" x14ac:dyDescent="0.3">
      <c r="A60" s="5"/>
      <c r="B60" s="259" t="s">
        <v>1049</v>
      </c>
      <c r="C60" s="263">
        <v>0.1</v>
      </c>
      <c r="D60" s="3" t="s">
        <v>1050</v>
      </c>
      <c r="G60" s="362">
        <f>SQRT(G56*G57*G58/G59)</f>
        <v>6.8738635424337602</v>
      </c>
      <c r="H60" s="62" t="s">
        <v>1259</v>
      </c>
    </row>
    <row r="61" spans="1:8" x14ac:dyDescent="0.3">
      <c r="B61" s="277" t="s">
        <v>994</v>
      </c>
    </row>
    <row r="62" spans="1:8" x14ac:dyDescent="0.3">
      <c r="B62" s="259" t="s">
        <v>995</v>
      </c>
      <c r="C62" s="245">
        <f>C43</f>
        <v>0</v>
      </c>
      <c r="D62" s="3" t="s">
        <v>1</v>
      </c>
    </row>
    <row r="63" spans="1:8" x14ac:dyDescent="0.3">
      <c r="B63" s="259" t="s">
        <v>998</v>
      </c>
      <c r="C63" s="238" t="s">
        <v>997</v>
      </c>
      <c r="E63" s="3" t="s">
        <v>1200</v>
      </c>
    </row>
    <row r="64" spans="1:8" x14ac:dyDescent="0.3">
      <c r="B64" s="259" t="s">
        <v>996</v>
      </c>
      <c r="C64" s="238">
        <v>7</v>
      </c>
      <c r="D64" s="3" t="s">
        <v>43</v>
      </c>
    </row>
    <row r="65" spans="2:7" x14ac:dyDescent="0.3">
      <c r="B65" s="259" t="s">
        <v>999</v>
      </c>
      <c r="C65" s="238">
        <f>IF(C68=0,0,20*20)</f>
        <v>0</v>
      </c>
      <c r="D65" s="3" t="s">
        <v>1</v>
      </c>
    </row>
    <row r="66" spans="2:7" x14ac:dyDescent="0.3">
      <c r="B66" s="277" t="s">
        <v>1105</v>
      </c>
      <c r="G66" s="3" t="s">
        <v>1402</v>
      </c>
    </row>
    <row r="67" spans="2:7" x14ac:dyDescent="0.3">
      <c r="B67" s="259" t="s">
        <v>1106</v>
      </c>
      <c r="C67" s="279">
        <f>C35*(C31+G67)</f>
        <v>0</v>
      </c>
      <c r="D67" s="3" t="s">
        <v>1</v>
      </c>
      <c r="G67" s="448">
        <v>9</v>
      </c>
    </row>
    <row r="68" spans="2:7" x14ac:dyDescent="0.3">
      <c r="B68" s="259" t="s">
        <v>1107</v>
      </c>
      <c r="C68" s="238">
        <f>IF(C43=0,0,20*3*14)</f>
        <v>0</v>
      </c>
      <c r="D68" s="3" t="s">
        <v>1</v>
      </c>
    </row>
    <row r="70" spans="2:7" x14ac:dyDescent="0.3">
      <c r="B70" s="244" t="s">
        <v>1116</v>
      </c>
      <c r="C70" s="5"/>
    </row>
    <row r="71" spans="2:7" x14ac:dyDescent="0.3">
      <c r="B71" s="3" t="s">
        <v>1114</v>
      </c>
      <c r="C71" s="473">
        <f>IF(C31&lt;33,0.8,IF(AND(C31&gt;32,C31&lt;37),1,1.2))</f>
        <v>0.8</v>
      </c>
      <c r="D71" s="3" t="s">
        <v>1115</v>
      </c>
    </row>
    <row r="72" spans="2:7" x14ac:dyDescent="0.3">
      <c r="B72" s="3" t="s">
        <v>1117</v>
      </c>
      <c r="C72" s="238">
        <f>IF(C43=0,0,1)</f>
        <v>0</v>
      </c>
      <c r="D72" s="3" t="s">
        <v>2</v>
      </c>
    </row>
    <row r="73" spans="2:7" x14ac:dyDescent="0.3">
      <c r="B73" s="3" t="s">
        <v>1118</v>
      </c>
      <c r="C73" s="238">
        <v>0</v>
      </c>
      <c r="D73" s="3" t="s">
        <v>2</v>
      </c>
    </row>
    <row r="74" spans="2:7" x14ac:dyDescent="0.3">
      <c r="C74" s="5"/>
      <c r="E74" s="246"/>
    </row>
    <row r="75" spans="2:7" x14ac:dyDescent="0.3">
      <c r="B75" s="244" t="s">
        <v>1120</v>
      </c>
    </row>
    <row r="76" spans="2:7" x14ac:dyDescent="0.3">
      <c r="B76" s="3" t="s">
        <v>1121</v>
      </c>
      <c r="C76" s="238">
        <v>2.7</v>
      </c>
      <c r="D76" s="3" t="s">
        <v>1115</v>
      </c>
    </row>
    <row r="77" spans="2:7" x14ac:dyDescent="0.3">
      <c r="B77" s="3" t="s">
        <v>1122</v>
      </c>
      <c r="C77" s="242">
        <v>22</v>
      </c>
      <c r="D77" s="3" t="s">
        <v>1123</v>
      </c>
    </row>
    <row r="78" spans="2:7" x14ac:dyDescent="0.3">
      <c r="C78" s="5"/>
    </row>
    <row r="79" spans="2:7" x14ac:dyDescent="0.3">
      <c r="B79" s="244" t="s">
        <v>632</v>
      </c>
      <c r="C79" s="5"/>
    </row>
    <row r="80" spans="2:7" x14ac:dyDescent="0.3">
      <c r="B80" s="3" t="s">
        <v>1124</v>
      </c>
      <c r="C80" s="238">
        <f>C35</f>
        <v>0</v>
      </c>
      <c r="D80" s="3" t="s">
        <v>3</v>
      </c>
    </row>
    <row r="81" spans="2:10" x14ac:dyDescent="0.3">
      <c r="B81" s="3" t="s">
        <v>11</v>
      </c>
      <c r="C81" s="238">
        <f>IF(C43=0,0,1)</f>
        <v>0</v>
      </c>
      <c r="D81" s="3" t="s">
        <v>2</v>
      </c>
    </row>
    <row r="82" spans="2:10" x14ac:dyDescent="0.3">
      <c r="C82" s="5"/>
    </row>
    <row r="83" spans="2:10" x14ac:dyDescent="0.3">
      <c r="B83" s="244" t="s">
        <v>642</v>
      </c>
    </row>
    <row r="84" spans="2:10" x14ac:dyDescent="0.3">
      <c r="B84" s="3" t="s">
        <v>1173</v>
      </c>
      <c r="C84" s="242">
        <f>C43</f>
        <v>0</v>
      </c>
      <c r="D84" s="3" t="s">
        <v>1</v>
      </c>
    </row>
    <row r="85" spans="2:10" x14ac:dyDescent="0.3">
      <c r="B85" s="3" t="s">
        <v>1174</v>
      </c>
      <c r="C85" s="478" t="str">
        <f>IF(C31&lt;33,"K-17",IF(AND(C31&gt;33,C31&lt;39),"K-22",IF(C31&gt;39,"K-25","N/A")))</f>
        <v>K-17</v>
      </c>
    </row>
    <row r="86" spans="2:10" x14ac:dyDescent="0.3">
      <c r="B86" s="3" t="s">
        <v>1179</v>
      </c>
      <c r="C86" s="242" t="s">
        <v>1175</v>
      </c>
      <c r="E86" s="3" t="s">
        <v>1200</v>
      </c>
    </row>
    <row r="87" spans="2:10" x14ac:dyDescent="0.3">
      <c r="B87" s="3" t="s">
        <v>1176</v>
      </c>
      <c r="C87" s="242">
        <v>0</v>
      </c>
      <c r="D87" s="3" t="s">
        <v>2</v>
      </c>
    </row>
    <row r="88" spans="2:10" x14ac:dyDescent="0.3">
      <c r="B88" s="3" t="s">
        <v>1177</v>
      </c>
      <c r="C88" s="242">
        <v>0</v>
      </c>
      <c r="D88" s="3" t="s">
        <v>2</v>
      </c>
    </row>
    <row r="89" spans="2:10" x14ac:dyDescent="0.3">
      <c r="B89" s="3" t="s">
        <v>1178</v>
      </c>
      <c r="C89" s="242">
        <v>0</v>
      </c>
      <c r="D89" s="3" t="s">
        <v>1</v>
      </c>
    </row>
    <row r="91" spans="2:10" x14ac:dyDescent="0.3">
      <c r="B91" s="244" t="s">
        <v>644</v>
      </c>
    </row>
    <row r="92" spans="2:10" ht="13.5" thickBot="1" x14ac:dyDescent="0.35">
      <c r="B92" s="3" t="s">
        <v>298</v>
      </c>
      <c r="C92" s="238">
        <f>IF(C43=0,0,ROUNDUP(C37*8/C93,0.1))</f>
        <v>0</v>
      </c>
      <c r="D92" s="3" t="s">
        <v>2</v>
      </c>
      <c r="E92" s="3" t="s">
        <v>1189</v>
      </c>
      <c r="I92" s="139" t="s">
        <v>1185</v>
      </c>
      <c r="J92" s="139" t="s">
        <v>1184</v>
      </c>
    </row>
    <row r="93" spans="2:10" ht="13.5" thickBot="1" x14ac:dyDescent="0.35">
      <c r="B93" s="3" t="s">
        <v>1186</v>
      </c>
      <c r="C93" s="242">
        <f>IF(C34=0,0,F93)</f>
        <v>0</v>
      </c>
      <c r="D93" s="3" t="s">
        <v>1185</v>
      </c>
      <c r="E93" s="291" t="s">
        <v>1348</v>
      </c>
      <c r="F93" s="461">
        <v>2100000</v>
      </c>
      <c r="I93" s="449">
        <v>800000</v>
      </c>
      <c r="J93" s="449">
        <v>35000</v>
      </c>
    </row>
    <row r="94" spans="2:10" ht="13.5" thickBot="1" x14ac:dyDescent="0.35">
      <c r="B94" s="5" t="s">
        <v>1002</v>
      </c>
      <c r="C94" s="242">
        <v>1</v>
      </c>
      <c r="D94" s="3" t="s">
        <v>1188</v>
      </c>
      <c r="I94" s="450">
        <v>1200000</v>
      </c>
      <c r="J94" s="450">
        <v>45000</v>
      </c>
    </row>
    <row r="95" spans="2:10" ht="13.5" thickBot="1" x14ac:dyDescent="0.35">
      <c r="B95" s="3" t="s">
        <v>1183</v>
      </c>
      <c r="C95" s="242">
        <f>F95</f>
        <v>50000</v>
      </c>
      <c r="D95" s="3" t="s">
        <v>1184</v>
      </c>
      <c r="E95" s="291" t="s">
        <v>1349</v>
      </c>
      <c r="F95" s="462">
        <v>50000</v>
      </c>
      <c r="I95" s="450">
        <v>1600000</v>
      </c>
      <c r="J95" s="450">
        <v>50000</v>
      </c>
    </row>
    <row r="96" spans="2:10" x14ac:dyDescent="0.3">
      <c r="B96" s="3" t="s">
        <v>286</v>
      </c>
      <c r="C96" s="242">
        <f>ROUNDUP(C43*(C31)*C94*(1-C97)/C95/60,0.1)</f>
        <v>0</v>
      </c>
      <c r="D96" s="3" t="s">
        <v>2</v>
      </c>
      <c r="E96" s="3" t="s">
        <v>1403</v>
      </c>
      <c r="I96" s="450">
        <v>1850000</v>
      </c>
      <c r="J96" s="450"/>
    </row>
    <row r="97" spans="2:13" x14ac:dyDescent="0.3">
      <c r="B97" s="448" t="s">
        <v>1350</v>
      </c>
      <c r="C97" s="452">
        <v>0</v>
      </c>
      <c r="D97" s="3" t="s">
        <v>1367</v>
      </c>
      <c r="E97" s="3" t="s">
        <v>1366</v>
      </c>
      <c r="I97" s="450">
        <v>2100000</v>
      </c>
      <c r="J97" s="450"/>
      <c r="M97" s="463"/>
    </row>
    <row r="98" spans="2:13" ht="13.5" thickBot="1" x14ac:dyDescent="0.35">
      <c r="B98" s="3" t="s">
        <v>294</v>
      </c>
      <c r="C98" s="242">
        <f>IF(C43=0,0,1)</f>
        <v>0</v>
      </c>
      <c r="D98" s="3" t="s">
        <v>2</v>
      </c>
      <c r="I98" s="451"/>
      <c r="J98" s="451"/>
    </row>
    <row r="100" spans="2:13" ht="13.5" thickBot="1" x14ac:dyDescent="0.35">
      <c r="B100" s="244" t="s">
        <v>125</v>
      </c>
    </row>
    <row r="101" spans="2:13" ht="13.5" thickBot="1" x14ac:dyDescent="0.35">
      <c r="B101" s="3" t="s">
        <v>1190</v>
      </c>
      <c r="C101" s="242">
        <f>ROUNDUP(F101,-3)</f>
        <v>0</v>
      </c>
      <c r="D101" s="3" t="s">
        <v>1192</v>
      </c>
      <c r="E101" s="291" t="s">
        <v>1365</v>
      </c>
      <c r="F101" s="461">
        <f>C43*3/831*1.25</f>
        <v>0</v>
      </c>
    </row>
    <row r="102" spans="2:13" ht="13.5" thickBot="1" x14ac:dyDescent="0.35">
      <c r="B102" s="3" t="s">
        <v>1191</v>
      </c>
      <c r="C102" s="242">
        <f>IF(C43=0,0,200)</f>
        <v>0</v>
      </c>
      <c r="D102" s="3" t="s">
        <v>1192</v>
      </c>
      <c r="F102" s="470" t="s">
        <v>1361</v>
      </c>
    </row>
    <row r="103" spans="2:13" ht="13.5" thickBot="1" x14ac:dyDescent="0.35">
      <c r="B103" s="3" t="s">
        <v>1198</v>
      </c>
      <c r="C103" s="242">
        <v>0</v>
      </c>
      <c r="D103" s="3" t="s">
        <v>2</v>
      </c>
      <c r="F103" s="506" t="s">
        <v>1352</v>
      </c>
      <c r="G103" s="507"/>
      <c r="H103" s="507"/>
      <c r="I103" s="507"/>
      <c r="J103" s="508"/>
    </row>
    <row r="104" spans="2:13" x14ac:dyDescent="0.3">
      <c r="B104" s="3" t="s">
        <v>1199</v>
      </c>
      <c r="C104" s="242">
        <v>0</v>
      </c>
      <c r="D104" s="3" t="s">
        <v>2</v>
      </c>
      <c r="F104" s="504" t="s">
        <v>1353</v>
      </c>
      <c r="G104" s="505"/>
      <c r="H104" s="457">
        <v>24000</v>
      </c>
      <c r="I104" s="457">
        <v>30000</v>
      </c>
      <c r="J104" s="458">
        <v>36000</v>
      </c>
    </row>
    <row r="105" spans="2:13" x14ac:dyDescent="0.3">
      <c r="B105" s="3" t="s">
        <v>1195</v>
      </c>
      <c r="C105" s="454" t="s">
        <v>1196</v>
      </c>
      <c r="F105" s="459">
        <v>20</v>
      </c>
      <c r="G105" s="62" t="s">
        <v>44</v>
      </c>
      <c r="H105" s="245">
        <f>$C$37/1250</f>
        <v>0</v>
      </c>
      <c r="I105" s="279">
        <f>$C$37/1500</f>
        <v>0</v>
      </c>
      <c r="J105" s="471">
        <f>$C$37/1815</f>
        <v>0</v>
      </c>
    </row>
    <row r="106" spans="2:13" x14ac:dyDescent="0.3">
      <c r="B106" s="3" t="s">
        <v>1193</v>
      </c>
      <c r="C106" s="242">
        <v>30</v>
      </c>
      <c r="D106" s="3" t="s">
        <v>44</v>
      </c>
      <c r="F106" s="459">
        <v>25</v>
      </c>
      <c r="G106" s="62" t="s">
        <v>44</v>
      </c>
      <c r="H106" s="245">
        <f>$C$37/1000</f>
        <v>0</v>
      </c>
      <c r="I106" s="279">
        <f>$C$37/1200</f>
        <v>0</v>
      </c>
      <c r="J106" s="471">
        <f>$C$37/1450</f>
        <v>0</v>
      </c>
    </row>
    <row r="107" spans="2:13" ht="13.5" thickBot="1" x14ac:dyDescent="0.35">
      <c r="B107" s="3" t="s">
        <v>1351</v>
      </c>
      <c r="C107" s="242">
        <v>36000</v>
      </c>
      <c r="F107" s="460">
        <v>30</v>
      </c>
      <c r="G107" s="472" t="s">
        <v>44</v>
      </c>
      <c r="H107" s="455">
        <f>$C$37/840</f>
        <v>0</v>
      </c>
      <c r="I107" s="455">
        <f>$C$37/1000</f>
        <v>0</v>
      </c>
      <c r="J107" s="456">
        <f>$C$37/1200</f>
        <v>0</v>
      </c>
    </row>
    <row r="108" spans="2:13" x14ac:dyDescent="0.3">
      <c r="B108" s="3" t="s">
        <v>1362</v>
      </c>
      <c r="C108" s="473">
        <f>ROUNDUP(INDEX(F104:J107,MATCH(C106,F104:F107,0),MATCH(C107,F104:J104,0)),0)</f>
        <v>0</v>
      </c>
    </row>
    <row r="109" spans="2:13" x14ac:dyDescent="0.3">
      <c r="F109" s="3" t="s">
        <v>1363</v>
      </c>
    </row>
    <row r="110" spans="2:13" x14ac:dyDescent="0.3">
      <c r="F110" s="477" t="s">
        <v>1364</v>
      </c>
    </row>
  </sheetData>
  <mergeCells count="7">
    <mergeCell ref="L36:M37"/>
    <mergeCell ref="F104:G104"/>
    <mergeCell ref="F103:J103"/>
    <mergeCell ref="I46:J46"/>
    <mergeCell ref="A2:F2"/>
    <mergeCell ref="A3:F3"/>
    <mergeCell ref="I36:J37"/>
  </mergeCells>
  <phoneticPr fontId="14" type="noConversion"/>
  <dataValidations count="8">
    <dataValidation type="list" allowBlank="1" showInputMessage="1" showErrorMessage="1" sqref="C48" xr:uid="{3145AE0F-C70A-4302-9BB6-1BC76BEA9891}">
      <formula1>"Single Load, Cross Dock, N/A"</formula1>
    </dataValidation>
    <dataValidation type="list" allowBlank="1" showInputMessage="1" showErrorMessage="1" sqref="C63" xr:uid="{28CAAC0F-6591-497F-9716-255D595702C2}">
      <formula1>"Rebar, WWF, Fiber, None"</formula1>
    </dataValidation>
    <dataValidation type="list" allowBlank="1" showInputMessage="1" showErrorMessage="1" sqref="C77" xr:uid="{EE82059E-5CE7-4DB6-81FF-F8A9A47C7330}">
      <formula1>"22, 20, 18"</formula1>
    </dataValidation>
    <dataValidation type="list" allowBlank="1" showInputMessage="1" showErrorMessage="1" sqref="C86" xr:uid="{54CDFBD9-BDA8-4C12-8E62-591EE0078FF3}">
      <formula1>"Electric, Diesel, None"</formula1>
    </dataValidation>
    <dataValidation type="list" allowBlank="1" showInputMessage="1" showErrorMessage="1" sqref="F93" xr:uid="{6498AB00-3B45-43CC-99FE-D7A6B43EA29E}">
      <formula1>$I$93:$I$98</formula1>
    </dataValidation>
    <dataValidation type="list" allowBlank="1" showInputMessage="1" showErrorMessage="1" sqref="F95" xr:uid="{BB69F6A2-EFEE-4700-9844-6D7F36C100EA}">
      <formula1>$J$93:$J$98</formula1>
    </dataValidation>
    <dataValidation type="list" allowBlank="1" showInputMessage="1" showErrorMessage="1" sqref="C106" xr:uid="{08A77E9C-6A92-4E2F-9478-4901DB4657A5}">
      <formula1>$F$105:$F$107</formula1>
    </dataValidation>
    <dataValidation type="list" allowBlank="1" showInputMessage="1" showErrorMessage="1" sqref="C107" xr:uid="{28D6A34C-8A51-45A5-9C95-E05AA9F9F70A}">
      <formula1>$H$104:$J$104</formula1>
    </dataValidation>
  </dataValidations>
  <hyperlinks>
    <hyperlink ref="F102" r:id="rId1" xr:uid="{2915B3C4-BCB6-4DA5-B7FA-A859508A5B1E}"/>
    <hyperlink ref="F110" r:id="rId2" xr:uid="{E108DD79-97C5-408E-9163-0BE8E6848E92}"/>
  </hyperlinks>
  <pageMargins left="1" right="0.75" top="1" bottom="1" header="0.5" footer="0.5"/>
  <pageSetup scale="72"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5B43-14C4-451E-8B9C-EE339B8ABCD9}">
  <sheetPr codeName="Sheet2"/>
  <dimension ref="B1:T279"/>
  <sheetViews>
    <sheetView showFormulas="1" zoomScale="115" zoomScaleNormal="115" zoomScaleSheetLayoutView="100" workbookViewId="0">
      <pane xSplit="4" ySplit="10" topLeftCell="E69" activePane="bottomRight" state="frozen"/>
      <selection pane="topRight" activeCell="E1" sqref="E1"/>
      <selection pane="bottomLeft" activeCell="A10" sqref="A10"/>
      <selection pane="bottomRight" activeCell="E11" sqref="E11"/>
    </sheetView>
  </sheetViews>
  <sheetFormatPr defaultColWidth="9.1796875" defaultRowHeight="13" x14ac:dyDescent="0.3"/>
  <cols>
    <col min="1" max="1" width="3.1796875" style="3" customWidth="1"/>
    <col min="2" max="2" width="12.54296875" style="3" customWidth="1"/>
    <col min="3" max="3" width="9" style="3" customWidth="1"/>
    <col min="4" max="4" width="25.54296875" style="3" customWidth="1"/>
    <col min="5" max="5" width="14" style="3" customWidth="1"/>
    <col min="6" max="6" width="9.6328125" style="3" customWidth="1"/>
    <col min="7" max="7" width="11.1796875" style="3" customWidth="1"/>
    <col min="8" max="8" width="0.54296875" style="3" customWidth="1"/>
    <col min="9" max="9" width="21.6328125" style="3" customWidth="1"/>
    <col min="10" max="10" width="2.1796875" style="3" customWidth="1"/>
    <col min="11" max="11" width="9.1796875" style="3"/>
    <col min="12" max="12" width="19" style="3" customWidth="1"/>
    <col min="13" max="15" width="14.81640625" style="3" customWidth="1"/>
    <col min="16" max="19" width="9.1796875" style="3"/>
    <col min="20" max="20" width="13.81640625" style="3" bestFit="1" customWidth="1"/>
    <col min="21" max="16384" width="9.1796875" style="3"/>
  </cols>
  <sheetData>
    <row r="1" spans="2:10" ht="13.5" thickBot="1" x14ac:dyDescent="0.35"/>
    <row r="2" spans="2:10" ht="15.5" x14ac:dyDescent="0.35">
      <c r="B2" s="72"/>
      <c r="C2" s="6"/>
      <c r="D2" s="6" t="s">
        <v>932</v>
      </c>
      <c r="E2" s="499">
        <f>+'Project Info Input'!C11</f>
        <v>0</v>
      </c>
      <c r="F2" s="499"/>
      <c r="G2" s="313">
        <f>+E90</f>
        <v>6568.07220790875</v>
      </c>
      <c r="H2" s="191"/>
      <c r="I2" s="192" t="s">
        <v>602</v>
      </c>
      <c r="J2" s="7"/>
    </row>
    <row r="3" spans="2:10" ht="15.5" x14ac:dyDescent="0.35">
      <c r="B3" s="73"/>
      <c r="C3" s="193"/>
      <c r="D3" s="193" t="s">
        <v>598</v>
      </c>
      <c r="E3" s="500" t="str">
        <f>'Project Info Input'!C8</f>
        <v>Test</v>
      </c>
      <c r="F3" s="500"/>
      <c r="G3" s="194">
        <f>F90</f>
        <v>0</v>
      </c>
      <c r="H3" s="314"/>
      <c r="I3" s="195" t="s">
        <v>603</v>
      </c>
      <c r="J3" s="180"/>
    </row>
    <row r="4" spans="2:10" ht="15.5" x14ac:dyDescent="0.35">
      <c r="B4" s="73"/>
      <c r="C4" s="193"/>
      <c r="D4" s="193" t="s">
        <v>599</v>
      </c>
      <c r="E4" s="501" t="str">
        <f>'Project Info Input'!C10</f>
        <v>Test 1</v>
      </c>
      <c r="F4" s="501"/>
      <c r="G4" s="196">
        <f>'Project Info Input'!C31</f>
        <v>0</v>
      </c>
      <c r="H4" s="315"/>
      <c r="I4" s="197" t="s">
        <v>923</v>
      </c>
      <c r="J4" s="8"/>
    </row>
    <row r="5" spans="2:10" ht="15.5" x14ac:dyDescent="0.35">
      <c r="B5" s="73"/>
      <c r="C5" s="193"/>
      <c r="D5" s="193" t="s">
        <v>597</v>
      </c>
      <c r="E5" s="502">
        <f>IF('Project Info Input'!C16="",'Project Info Input'!C15,'Project Info Input'!C16)</f>
        <v>0</v>
      </c>
      <c r="F5" s="502"/>
      <c r="G5" s="198">
        <f>IF('Project Info Input'!C25=0,0,Estimate!I5)</f>
        <v>0</v>
      </c>
      <c r="H5" s="315"/>
      <c r="I5" s="197" t="s">
        <v>666</v>
      </c>
      <c r="J5" s="9"/>
    </row>
    <row r="6" spans="2:10" ht="15.5" x14ac:dyDescent="0.35">
      <c r="B6" s="73"/>
      <c r="C6" s="193"/>
      <c r="D6" s="193" t="s">
        <v>600</v>
      </c>
      <c r="E6" s="501">
        <f>'Project Info Input'!C43</f>
        <v>0</v>
      </c>
      <c r="F6" s="501"/>
      <c r="G6" s="198">
        <f>IF('Project Info Input'!C25=0,0,Estimate!I6)</f>
        <v>0</v>
      </c>
      <c r="H6" s="315"/>
      <c r="I6" s="197" t="s">
        <v>605</v>
      </c>
      <c r="J6" s="9"/>
    </row>
    <row r="7" spans="2:10" ht="16" thickBot="1" x14ac:dyDescent="0.4">
      <c r="B7" s="74"/>
      <c r="C7" s="51"/>
      <c r="D7" s="51" t="s">
        <v>601</v>
      </c>
      <c r="E7" s="498">
        <f>'Project Info Input'!C28</f>
        <v>0</v>
      </c>
      <c r="F7" s="498"/>
      <c r="G7" s="138">
        <f>IF('Project Info Input'!C25=0,0,Estimate!I7)</f>
        <v>0</v>
      </c>
      <c r="H7" s="52"/>
      <c r="I7" s="53" t="s">
        <v>604</v>
      </c>
      <c r="J7" s="54"/>
    </row>
    <row r="8" spans="2:10" ht="4.5" customHeight="1" thickBot="1" x14ac:dyDescent="0.35">
      <c r="B8" s="534"/>
      <c r="C8" s="534"/>
      <c r="D8" s="534"/>
      <c r="E8" s="534"/>
      <c r="F8" s="534"/>
      <c r="G8" s="534"/>
      <c r="H8" s="534"/>
      <c r="I8" s="534"/>
      <c r="J8" s="534"/>
    </row>
    <row r="9" spans="2:10" s="55" customFormat="1" ht="15" thickBot="1" x14ac:dyDescent="0.3">
      <c r="B9" s="159" t="s">
        <v>799</v>
      </c>
      <c r="C9" s="160" t="s">
        <v>797</v>
      </c>
      <c r="D9" s="160" t="s">
        <v>798</v>
      </c>
      <c r="E9" s="160" t="s">
        <v>682</v>
      </c>
      <c r="F9" s="160" t="s">
        <v>683</v>
      </c>
      <c r="G9" s="527" t="s">
        <v>800</v>
      </c>
      <c r="H9" s="527"/>
      <c r="I9" s="527"/>
      <c r="J9" s="528"/>
    </row>
    <row r="10" spans="2:10" ht="4.5" customHeight="1" thickBot="1" x14ac:dyDescent="0.35">
      <c r="B10" s="534"/>
      <c r="C10" s="534"/>
      <c r="D10" s="534"/>
      <c r="E10" s="534"/>
      <c r="F10" s="534"/>
      <c r="G10" s="534"/>
      <c r="H10" s="534"/>
      <c r="I10" s="534"/>
      <c r="J10" s="534"/>
    </row>
    <row r="11" spans="2:10" x14ac:dyDescent="0.3">
      <c r="B11" s="519" t="s">
        <v>681</v>
      </c>
      <c r="C11" s="88" t="s">
        <v>1287</v>
      </c>
      <c r="D11" s="89" t="s">
        <v>47</v>
      </c>
      <c r="E11" s="90">
        <f>Estimate!N23</f>
        <v>0</v>
      </c>
      <c r="F11" s="91">
        <f>IF($E$6=0,0,E11/$E$6)</f>
        <v>0</v>
      </c>
      <c r="G11" s="529"/>
      <c r="H11" s="530"/>
      <c r="I11" s="530"/>
      <c r="J11" s="531"/>
    </row>
    <row r="12" spans="2:10" x14ac:dyDescent="0.3">
      <c r="B12" s="520"/>
      <c r="C12" s="75" t="s">
        <v>1288</v>
      </c>
      <c r="D12" s="11" t="s">
        <v>684</v>
      </c>
      <c r="E12" s="79">
        <f>Estimate!N55</f>
        <v>0</v>
      </c>
      <c r="F12" s="70">
        <f t="shared" ref="F12:F22" si="0">IF($E$6=0,0,E12/$E$6)</f>
        <v>0</v>
      </c>
      <c r="G12" s="513"/>
      <c r="H12" s="514"/>
      <c r="I12" s="514"/>
      <c r="J12" s="515"/>
    </row>
    <row r="13" spans="2:10" x14ac:dyDescent="0.3">
      <c r="B13" s="520"/>
      <c r="C13" s="75" t="s">
        <v>1291</v>
      </c>
      <c r="D13" s="11" t="s">
        <v>25</v>
      </c>
      <c r="E13" s="79">
        <f>Estimate!N39</f>
        <v>0</v>
      </c>
      <c r="F13" s="70">
        <f t="shared" si="0"/>
        <v>0</v>
      </c>
      <c r="G13" s="513"/>
      <c r="H13" s="514"/>
      <c r="I13" s="514"/>
      <c r="J13" s="515"/>
    </row>
    <row r="14" spans="2:10" x14ac:dyDescent="0.3">
      <c r="B14" s="520"/>
      <c r="C14" s="75" t="s">
        <v>1292</v>
      </c>
      <c r="D14" s="11" t="s">
        <v>685</v>
      </c>
      <c r="E14" s="79">
        <f>Estimate!N142+Estimate!N166+Estimate!N178+Estimate!N266</f>
        <v>0</v>
      </c>
      <c r="F14" s="70">
        <f t="shared" si="0"/>
        <v>0</v>
      </c>
      <c r="G14" s="513"/>
      <c r="H14" s="514"/>
      <c r="I14" s="514"/>
      <c r="J14" s="515"/>
    </row>
    <row r="15" spans="2:10" x14ac:dyDescent="0.3">
      <c r="B15" s="520"/>
      <c r="C15" s="75" t="s">
        <v>1290</v>
      </c>
      <c r="D15" s="11" t="s">
        <v>21</v>
      </c>
      <c r="E15" s="79">
        <f>Estimate!N96</f>
        <v>0</v>
      </c>
      <c r="F15" s="70">
        <f t="shared" si="0"/>
        <v>0</v>
      </c>
      <c r="G15" s="513"/>
      <c r="H15" s="514"/>
      <c r="I15" s="514"/>
      <c r="J15" s="515"/>
    </row>
    <row r="16" spans="2:10" x14ac:dyDescent="0.3">
      <c r="B16" s="520"/>
      <c r="C16" s="75" t="s">
        <v>1354</v>
      </c>
      <c r="D16" s="11" t="s">
        <v>28</v>
      </c>
      <c r="E16" s="79">
        <f>Estimate!N200</f>
        <v>0</v>
      </c>
      <c r="F16" s="70">
        <f t="shared" si="0"/>
        <v>0</v>
      </c>
      <c r="G16" s="513"/>
      <c r="H16" s="514"/>
      <c r="I16" s="514"/>
      <c r="J16" s="515"/>
    </row>
    <row r="17" spans="2:15" x14ac:dyDescent="0.3">
      <c r="B17" s="520"/>
      <c r="C17" s="75" t="s">
        <v>1294</v>
      </c>
      <c r="D17" s="11" t="s">
        <v>48</v>
      </c>
      <c r="E17" s="79">
        <f>Estimate!N234</f>
        <v>0</v>
      </c>
      <c r="F17" s="70">
        <f t="shared" si="0"/>
        <v>0</v>
      </c>
      <c r="G17" s="513"/>
      <c r="H17" s="514"/>
      <c r="I17" s="514"/>
      <c r="J17" s="515"/>
    </row>
    <row r="18" spans="2:15" x14ac:dyDescent="0.3">
      <c r="B18" s="520"/>
      <c r="C18" s="75" t="s">
        <v>1295</v>
      </c>
      <c r="D18" s="11" t="s">
        <v>1208</v>
      </c>
      <c r="E18" s="79">
        <f>Estimate!N249</f>
        <v>0</v>
      </c>
      <c r="F18" s="70">
        <f t="shared" si="0"/>
        <v>0</v>
      </c>
      <c r="G18" s="513"/>
      <c r="H18" s="514"/>
      <c r="I18" s="514"/>
      <c r="J18" s="515"/>
    </row>
    <row r="19" spans="2:15" x14ac:dyDescent="0.3">
      <c r="B19" s="520"/>
      <c r="C19" s="75" t="s">
        <v>1297</v>
      </c>
      <c r="D19" s="11" t="s">
        <v>67</v>
      </c>
      <c r="E19" s="79">
        <f>Estimate!N273</f>
        <v>0</v>
      </c>
      <c r="F19" s="70">
        <f t="shared" si="0"/>
        <v>0</v>
      </c>
      <c r="G19" s="513"/>
      <c r="H19" s="514"/>
      <c r="I19" s="514"/>
      <c r="J19" s="515"/>
    </row>
    <row r="20" spans="2:15" x14ac:dyDescent="0.3">
      <c r="B20" s="521"/>
      <c r="C20" s="80" t="s">
        <v>1298</v>
      </c>
      <c r="D20" s="81" t="s">
        <v>1086</v>
      </c>
      <c r="E20" s="82">
        <f>Estimate!N285</f>
        <v>0</v>
      </c>
      <c r="F20" s="70">
        <f t="shared" si="0"/>
        <v>0</v>
      </c>
      <c r="G20" s="513"/>
      <c r="H20" s="514"/>
      <c r="I20" s="514"/>
      <c r="J20" s="515"/>
    </row>
    <row r="21" spans="2:15" x14ac:dyDescent="0.3">
      <c r="B21" s="521"/>
      <c r="C21" s="80" t="s">
        <v>1299</v>
      </c>
      <c r="D21" s="81" t="s">
        <v>514</v>
      </c>
      <c r="E21" s="82">
        <f>Estimate!N301</f>
        <v>0</v>
      </c>
      <c r="F21" s="70">
        <f t="shared" si="0"/>
        <v>0</v>
      </c>
      <c r="G21" s="513"/>
      <c r="H21" s="514"/>
      <c r="I21" s="514"/>
      <c r="J21" s="515"/>
    </row>
    <row r="22" spans="2:15" x14ac:dyDescent="0.3">
      <c r="B22" s="521"/>
      <c r="C22" s="80" t="s">
        <v>1300</v>
      </c>
      <c r="D22" s="81" t="s">
        <v>686</v>
      </c>
      <c r="E22" s="82">
        <f>Estimate!N311</f>
        <v>0</v>
      </c>
      <c r="F22" s="83">
        <f t="shared" si="0"/>
        <v>0</v>
      </c>
      <c r="G22" s="516"/>
      <c r="H22" s="517"/>
      <c r="I22" s="517"/>
      <c r="J22" s="518"/>
    </row>
    <row r="23" spans="2:15" ht="14.5" x14ac:dyDescent="0.35">
      <c r="B23" s="94"/>
      <c r="C23" s="92"/>
      <c r="D23" s="161" t="s">
        <v>687</v>
      </c>
      <c r="E23" s="162">
        <f>SUM(E11:E22)</f>
        <v>0</v>
      </c>
      <c r="F23" s="163">
        <f>IF($E$6=0,0,E23/$E$6)</f>
        <v>0</v>
      </c>
      <c r="G23" s="161" t="s">
        <v>603</v>
      </c>
      <c r="H23" s="93"/>
      <c r="I23" s="550"/>
      <c r="J23" s="551"/>
      <c r="L23" s="62" t="str">
        <f>IF(E23=Estimate!N22,"SITEWORK CHECKS","ERROR - CHECK SUMS")</f>
        <v>SITEWORK CHECKS</v>
      </c>
      <c r="M23" s="204">
        <f>E23</f>
        <v>0</v>
      </c>
      <c r="N23" s="204">
        <f>Estimate!N22</f>
        <v>0</v>
      </c>
      <c r="O23" s="204">
        <f>M23-N23</f>
        <v>0</v>
      </c>
    </row>
    <row r="24" spans="2:15" ht="15" thickBot="1" x14ac:dyDescent="0.4">
      <c r="B24" s="84"/>
      <c r="C24" s="85"/>
      <c r="D24" s="164"/>
      <c r="E24" s="165"/>
      <c r="F24" s="366">
        <f>IF($E$7=0,0,E23/$E$7)</f>
        <v>0</v>
      </c>
      <c r="G24" s="164" t="s">
        <v>1266</v>
      </c>
      <c r="H24" s="86"/>
      <c r="I24" s="552"/>
      <c r="J24" s="553"/>
    </row>
    <row r="25" spans="2:15" ht="4.5" customHeight="1" thickBot="1" x14ac:dyDescent="0.35">
      <c r="B25" s="534"/>
      <c r="C25" s="534"/>
      <c r="D25" s="534"/>
      <c r="E25" s="534"/>
      <c r="F25" s="534"/>
      <c r="G25" s="534"/>
      <c r="H25" s="534"/>
      <c r="I25" s="534"/>
      <c r="J25" s="534"/>
    </row>
    <row r="26" spans="2:15" x14ac:dyDescent="0.3">
      <c r="B26" s="519" t="s">
        <v>688</v>
      </c>
      <c r="C26" s="88" t="s">
        <v>1301</v>
      </c>
      <c r="D26" s="89" t="s">
        <v>689</v>
      </c>
      <c r="E26" s="90">
        <f>Estimate!N330</f>
        <v>0</v>
      </c>
      <c r="F26" s="91">
        <f t="shared" ref="F26:F62" si="1">IF($E$6=0,0,E26/$E$6)</f>
        <v>0</v>
      </c>
      <c r="G26" s="529"/>
      <c r="H26" s="530"/>
      <c r="I26" s="530"/>
      <c r="J26" s="531"/>
    </row>
    <row r="27" spans="2:15" x14ac:dyDescent="0.3">
      <c r="B27" s="520"/>
      <c r="C27" s="75" t="s">
        <v>1301</v>
      </c>
      <c r="D27" s="11" t="s">
        <v>690</v>
      </c>
      <c r="E27" s="79">
        <f>Estimate!N362</f>
        <v>0</v>
      </c>
      <c r="F27" s="70">
        <f t="shared" si="1"/>
        <v>0</v>
      </c>
      <c r="G27" s="513"/>
      <c r="H27" s="514"/>
      <c r="I27" s="514"/>
      <c r="J27" s="515"/>
    </row>
    <row r="28" spans="2:15" x14ac:dyDescent="0.3">
      <c r="B28" s="520"/>
      <c r="C28" s="75" t="s">
        <v>1302</v>
      </c>
      <c r="D28" s="11" t="s">
        <v>691</v>
      </c>
      <c r="E28" s="79">
        <f>Estimate!N382</f>
        <v>0</v>
      </c>
      <c r="F28" s="70">
        <f t="shared" si="1"/>
        <v>0</v>
      </c>
      <c r="G28" s="513"/>
      <c r="H28" s="514"/>
      <c r="I28" s="514"/>
      <c r="J28" s="515"/>
    </row>
    <row r="29" spans="2:15" x14ac:dyDescent="0.3">
      <c r="B29" s="520"/>
      <c r="C29" s="75" t="s">
        <v>1303</v>
      </c>
      <c r="D29" s="11" t="s">
        <v>692</v>
      </c>
      <c r="E29" s="79">
        <f>Estimate!N390</f>
        <v>0</v>
      </c>
      <c r="F29" s="70">
        <f t="shared" si="1"/>
        <v>0</v>
      </c>
      <c r="G29" s="513"/>
      <c r="H29" s="514"/>
      <c r="I29" s="514"/>
      <c r="J29" s="515"/>
    </row>
    <row r="30" spans="2:15" x14ac:dyDescent="0.3">
      <c r="B30" s="520"/>
      <c r="C30" s="75" t="s">
        <v>1304</v>
      </c>
      <c r="D30" s="11" t="s">
        <v>699</v>
      </c>
      <c r="E30" s="79">
        <f>Estimate!N404</f>
        <v>0</v>
      </c>
      <c r="F30" s="70">
        <f t="shared" si="1"/>
        <v>0</v>
      </c>
      <c r="G30" s="513"/>
      <c r="H30" s="514"/>
      <c r="I30" s="514"/>
      <c r="J30" s="515"/>
    </row>
    <row r="31" spans="2:15" x14ac:dyDescent="0.3">
      <c r="B31" s="520"/>
      <c r="C31" s="75" t="s">
        <v>1305</v>
      </c>
      <c r="D31" s="11" t="s">
        <v>99</v>
      </c>
      <c r="E31" s="79">
        <f>Estimate!N417</f>
        <v>0</v>
      </c>
      <c r="F31" s="70">
        <f t="shared" si="1"/>
        <v>0</v>
      </c>
      <c r="G31" s="513"/>
      <c r="H31" s="514"/>
      <c r="I31" s="514"/>
      <c r="J31" s="515"/>
    </row>
    <row r="32" spans="2:15" x14ac:dyDescent="0.3">
      <c r="B32" s="520"/>
      <c r="C32" s="75" t="s">
        <v>1355</v>
      </c>
      <c r="D32" s="11" t="s">
        <v>693</v>
      </c>
      <c r="E32" s="79">
        <f>Estimate!N429+Estimate!N478+Estimate!N495</f>
        <v>0</v>
      </c>
      <c r="F32" s="70">
        <f t="shared" si="1"/>
        <v>0</v>
      </c>
      <c r="G32" s="513"/>
      <c r="H32" s="514"/>
      <c r="I32" s="514"/>
      <c r="J32" s="515"/>
    </row>
    <row r="33" spans="2:10" x14ac:dyDescent="0.3">
      <c r="B33" s="520"/>
      <c r="C33" s="75" t="s">
        <v>1307</v>
      </c>
      <c r="D33" s="11" t="s">
        <v>694</v>
      </c>
      <c r="E33" s="79">
        <f>Estimate!N455</f>
        <v>4500</v>
      </c>
      <c r="F33" s="70">
        <f t="shared" si="1"/>
        <v>0</v>
      </c>
      <c r="G33" s="513"/>
      <c r="H33" s="514"/>
      <c r="I33" s="514"/>
      <c r="J33" s="515"/>
    </row>
    <row r="34" spans="2:10" x14ac:dyDescent="0.3">
      <c r="B34" s="520"/>
      <c r="C34" s="75" t="s">
        <v>1309</v>
      </c>
      <c r="D34" s="11" t="s">
        <v>695</v>
      </c>
      <c r="E34" s="79">
        <f>Estimate!N511</f>
        <v>0</v>
      </c>
      <c r="F34" s="70">
        <f t="shared" si="1"/>
        <v>0</v>
      </c>
      <c r="G34" s="513"/>
      <c r="H34" s="514"/>
      <c r="I34" s="514"/>
      <c r="J34" s="515"/>
    </row>
    <row r="35" spans="2:10" x14ac:dyDescent="0.3">
      <c r="B35" s="520"/>
      <c r="C35" s="75" t="s">
        <v>1310</v>
      </c>
      <c r="D35" s="11" t="s">
        <v>696</v>
      </c>
      <c r="E35" s="79">
        <f>Estimate!N519</f>
        <v>0</v>
      </c>
      <c r="F35" s="70">
        <f t="shared" si="1"/>
        <v>0</v>
      </c>
      <c r="G35" s="513"/>
      <c r="H35" s="514"/>
      <c r="I35" s="514"/>
      <c r="J35" s="515"/>
    </row>
    <row r="36" spans="2:10" x14ac:dyDescent="0.3">
      <c r="B36" s="520"/>
      <c r="C36" s="75" t="s">
        <v>1311</v>
      </c>
      <c r="D36" s="11" t="s">
        <v>221</v>
      </c>
      <c r="E36" s="79">
        <f>Estimate!N540</f>
        <v>0</v>
      </c>
      <c r="F36" s="70">
        <f t="shared" si="1"/>
        <v>0</v>
      </c>
      <c r="G36" s="513"/>
      <c r="H36" s="514"/>
      <c r="I36" s="514"/>
      <c r="J36" s="515"/>
    </row>
    <row r="37" spans="2:10" x14ac:dyDescent="0.3">
      <c r="B37" s="520"/>
      <c r="C37" s="75" t="s">
        <v>1312</v>
      </c>
      <c r="D37" s="11" t="s">
        <v>697</v>
      </c>
      <c r="E37" s="79">
        <f>Estimate!N559</f>
        <v>0</v>
      </c>
      <c r="F37" s="70">
        <f t="shared" si="1"/>
        <v>0</v>
      </c>
      <c r="G37" s="513"/>
      <c r="H37" s="514"/>
      <c r="I37" s="514"/>
      <c r="J37" s="515"/>
    </row>
    <row r="38" spans="2:10" x14ac:dyDescent="0.3">
      <c r="B38" s="520"/>
      <c r="C38" s="75" t="s">
        <v>1313</v>
      </c>
      <c r="D38" s="11" t="s">
        <v>698</v>
      </c>
      <c r="E38" s="79">
        <f>Estimate!N570</f>
        <v>0</v>
      </c>
      <c r="F38" s="70">
        <f t="shared" si="1"/>
        <v>0</v>
      </c>
      <c r="G38" s="513"/>
      <c r="H38" s="514"/>
      <c r="I38" s="514"/>
      <c r="J38" s="515"/>
    </row>
    <row r="39" spans="2:10" x14ac:dyDescent="0.3">
      <c r="B39" s="520"/>
      <c r="C39" s="75" t="s">
        <v>1314</v>
      </c>
      <c r="D39" s="11" t="s">
        <v>96</v>
      </c>
      <c r="E39" s="79">
        <f>Estimate!N582</f>
        <v>0</v>
      </c>
      <c r="F39" s="70">
        <f t="shared" si="1"/>
        <v>0</v>
      </c>
      <c r="G39" s="513"/>
      <c r="H39" s="514"/>
      <c r="I39" s="514"/>
      <c r="J39" s="515"/>
    </row>
    <row r="40" spans="2:10" x14ac:dyDescent="0.3">
      <c r="B40" s="520"/>
      <c r="C40" s="75" t="s">
        <v>1315</v>
      </c>
      <c r="D40" s="11" t="s">
        <v>700</v>
      </c>
      <c r="E40" s="79">
        <f>Estimate!N607</f>
        <v>0</v>
      </c>
      <c r="F40" s="70">
        <f t="shared" si="1"/>
        <v>0</v>
      </c>
      <c r="G40" s="513"/>
      <c r="H40" s="514"/>
      <c r="I40" s="514"/>
      <c r="J40" s="515"/>
    </row>
    <row r="41" spans="2:10" x14ac:dyDescent="0.3">
      <c r="B41" s="520"/>
      <c r="C41" s="75" t="s">
        <v>1316</v>
      </c>
      <c r="D41" s="11" t="s">
        <v>701</v>
      </c>
      <c r="E41" s="79">
        <f>Estimate!N624+Estimate!N635</f>
        <v>550</v>
      </c>
      <c r="F41" s="70">
        <f t="shared" si="1"/>
        <v>0</v>
      </c>
      <c r="G41" s="513"/>
      <c r="H41" s="514"/>
      <c r="I41" s="514"/>
      <c r="J41" s="515"/>
    </row>
    <row r="42" spans="2:10" x14ac:dyDescent="0.3">
      <c r="B42" s="520"/>
      <c r="C42" s="75" t="s">
        <v>1317</v>
      </c>
      <c r="D42" s="11" t="s">
        <v>12</v>
      </c>
      <c r="E42" s="79">
        <f>Estimate!N647</f>
        <v>0</v>
      </c>
      <c r="F42" s="70">
        <f t="shared" si="1"/>
        <v>0</v>
      </c>
      <c r="G42" s="513"/>
      <c r="H42" s="514"/>
      <c r="I42" s="514"/>
      <c r="J42" s="515"/>
    </row>
    <row r="43" spans="2:10" x14ac:dyDescent="0.3">
      <c r="B43" s="520"/>
      <c r="C43" s="75" t="s">
        <v>1318</v>
      </c>
      <c r="D43" s="11" t="s">
        <v>702</v>
      </c>
      <c r="E43" s="79">
        <f>Estimate!N665</f>
        <v>0</v>
      </c>
      <c r="F43" s="70">
        <f t="shared" si="1"/>
        <v>0</v>
      </c>
      <c r="G43" s="513"/>
      <c r="H43" s="514"/>
      <c r="I43" s="514"/>
      <c r="J43" s="515"/>
    </row>
    <row r="44" spans="2:10" x14ac:dyDescent="0.3">
      <c r="B44" s="520"/>
      <c r="C44" s="75" t="s">
        <v>1319</v>
      </c>
      <c r="D44" s="11" t="s">
        <v>216</v>
      </c>
      <c r="E44" s="79">
        <f>Estimate!N687</f>
        <v>0</v>
      </c>
      <c r="F44" s="70">
        <f t="shared" si="1"/>
        <v>0</v>
      </c>
      <c r="G44" s="513"/>
      <c r="H44" s="514"/>
      <c r="I44" s="514"/>
      <c r="J44" s="515"/>
    </row>
    <row r="45" spans="2:10" x14ac:dyDescent="0.3">
      <c r="B45" s="520"/>
      <c r="C45" s="75" t="s">
        <v>1320</v>
      </c>
      <c r="D45" s="11" t="s">
        <v>703</v>
      </c>
      <c r="E45" s="79">
        <f>Estimate!N704</f>
        <v>0</v>
      </c>
      <c r="F45" s="70">
        <f t="shared" si="1"/>
        <v>0</v>
      </c>
      <c r="G45" s="513"/>
      <c r="H45" s="514"/>
      <c r="I45" s="514"/>
      <c r="J45" s="515"/>
    </row>
    <row r="46" spans="2:10" x14ac:dyDescent="0.3">
      <c r="B46" s="520"/>
      <c r="C46" s="75" t="s">
        <v>1321</v>
      </c>
      <c r="D46" s="11" t="s">
        <v>111</v>
      </c>
      <c r="E46" s="79">
        <f>Estimate!N713</f>
        <v>0</v>
      </c>
      <c r="F46" s="70">
        <f t="shared" si="1"/>
        <v>0</v>
      </c>
      <c r="G46" s="513"/>
      <c r="H46" s="514"/>
      <c r="I46" s="514"/>
      <c r="J46" s="515"/>
    </row>
    <row r="47" spans="2:10" x14ac:dyDescent="0.3">
      <c r="B47" s="520"/>
      <c r="C47" s="75" t="s">
        <v>1322</v>
      </c>
      <c r="D47" s="11" t="s">
        <v>584</v>
      </c>
      <c r="E47" s="79">
        <f>Estimate!N734+Estimate!N753+Estimate!N780</f>
        <v>0</v>
      </c>
      <c r="F47" s="70">
        <f t="shared" si="1"/>
        <v>0</v>
      </c>
      <c r="G47" s="513"/>
      <c r="H47" s="514"/>
      <c r="I47" s="514"/>
      <c r="J47" s="515"/>
    </row>
    <row r="48" spans="2:10" x14ac:dyDescent="0.3">
      <c r="B48" s="520"/>
      <c r="C48" s="75" t="s">
        <v>1323</v>
      </c>
      <c r="D48" s="11" t="s">
        <v>704</v>
      </c>
      <c r="E48" s="79">
        <f>Estimate!N796</f>
        <v>0</v>
      </c>
      <c r="F48" s="70">
        <f t="shared" si="1"/>
        <v>0</v>
      </c>
      <c r="G48" s="513"/>
      <c r="H48" s="514"/>
      <c r="I48" s="514"/>
      <c r="J48" s="515"/>
    </row>
    <row r="49" spans="2:15" x14ac:dyDescent="0.3">
      <c r="B49" s="520"/>
      <c r="C49" s="75" t="s">
        <v>1356</v>
      </c>
      <c r="D49" s="11" t="s">
        <v>705</v>
      </c>
      <c r="E49" s="79">
        <f>Estimate!N832</f>
        <v>0</v>
      </c>
      <c r="F49" s="70">
        <f t="shared" si="1"/>
        <v>0</v>
      </c>
      <c r="G49" s="513"/>
      <c r="H49" s="514"/>
      <c r="I49" s="514"/>
      <c r="J49" s="515"/>
    </row>
    <row r="50" spans="2:15" x14ac:dyDescent="0.3">
      <c r="B50" s="520"/>
      <c r="C50" s="75" t="s">
        <v>1325</v>
      </c>
      <c r="D50" s="11" t="s">
        <v>706</v>
      </c>
      <c r="E50" s="79">
        <f>Estimate!N854</f>
        <v>0</v>
      </c>
      <c r="F50" s="70">
        <f t="shared" si="1"/>
        <v>0</v>
      </c>
      <c r="G50" s="513"/>
      <c r="H50" s="514"/>
      <c r="I50" s="514"/>
      <c r="J50" s="515"/>
    </row>
    <row r="51" spans="2:15" x14ac:dyDescent="0.3">
      <c r="B51" s="520"/>
      <c r="C51" s="75" t="s">
        <v>1357</v>
      </c>
      <c r="D51" s="11" t="s">
        <v>707</v>
      </c>
      <c r="E51" s="79">
        <f>Estimate!N872</f>
        <v>0</v>
      </c>
      <c r="F51" s="70">
        <f t="shared" si="1"/>
        <v>0</v>
      </c>
      <c r="G51" s="513"/>
      <c r="H51" s="514"/>
      <c r="I51" s="514"/>
      <c r="J51" s="515"/>
    </row>
    <row r="52" spans="2:15" x14ac:dyDescent="0.3">
      <c r="B52" s="520"/>
      <c r="C52" s="75" t="s">
        <v>1327</v>
      </c>
      <c r="D52" s="11" t="s">
        <v>615</v>
      </c>
      <c r="E52" s="79">
        <f>Estimate!N882</f>
        <v>0</v>
      </c>
      <c r="F52" s="70">
        <f t="shared" si="1"/>
        <v>0</v>
      </c>
      <c r="G52" s="513"/>
      <c r="H52" s="514"/>
      <c r="I52" s="514"/>
      <c r="J52" s="515"/>
    </row>
    <row r="53" spans="2:15" x14ac:dyDescent="0.3">
      <c r="B53" s="520"/>
      <c r="C53" s="75" t="s">
        <v>1358</v>
      </c>
      <c r="D53" s="11" t="s">
        <v>733</v>
      </c>
      <c r="E53" s="79">
        <f>Estimate!N892</f>
        <v>0</v>
      </c>
      <c r="F53" s="70">
        <f t="shared" si="1"/>
        <v>0</v>
      </c>
      <c r="G53" s="513"/>
      <c r="H53" s="514"/>
      <c r="I53" s="514"/>
      <c r="J53" s="515"/>
    </row>
    <row r="54" spans="2:15" x14ac:dyDescent="0.3">
      <c r="B54" s="520"/>
      <c r="C54" s="75" t="s">
        <v>1330</v>
      </c>
      <c r="D54" s="11" t="s">
        <v>123</v>
      </c>
      <c r="E54" s="79">
        <f>Estimate!N911</f>
        <v>0</v>
      </c>
      <c r="F54" s="70">
        <f t="shared" si="1"/>
        <v>0</v>
      </c>
      <c r="G54" s="513"/>
      <c r="H54" s="514"/>
      <c r="I54" s="514"/>
      <c r="J54" s="515"/>
    </row>
    <row r="55" spans="2:15" x14ac:dyDescent="0.3">
      <c r="B55" s="520"/>
      <c r="C55" s="75" t="s">
        <v>1331</v>
      </c>
      <c r="D55" s="11" t="s">
        <v>570</v>
      </c>
      <c r="E55" s="79">
        <f>Estimate!N932+Estimate!N968</f>
        <v>0</v>
      </c>
      <c r="F55" s="70">
        <f t="shared" si="1"/>
        <v>0</v>
      </c>
      <c r="G55" s="513"/>
      <c r="H55" s="514"/>
      <c r="I55" s="514"/>
      <c r="J55" s="515"/>
    </row>
    <row r="56" spans="2:15" x14ac:dyDescent="0.3">
      <c r="B56" s="520"/>
      <c r="C56" s="75" t="s">
        <v>1332</v>
      </c>
      <c r="D56" s="11" t="s">
        <v>644</v>
      </c>
      <c r="E56" s="79">
        <f>Estimate!N990+Estimate!N1016</f>
        <v>0</v>
      </c>
      <c r="F56" s="70">
        <f t="shared" si="1"/>
        <v>0</v>
      </c>
      <c r="G56" s="513"/>
      <c r="H56" s="514"/>
      <c r="I56" s="514"/>
      <c r="J56" s="515"/>
    </row>
    <row r="57" spans="2:15" x14ac:dyDescent="0.3">
      <c r="B57" s="520"/>
      <c r="C57" s="75" t="s">
        <v>1333</v>
      </c>
      <c r="D57" s="11" t="s">
        <v>569</v>
      </c>
      <c r="E57" s="79">
        <f>Estimate!N1043+Estimate!N1080+Estimate!N1128+Estimate!N1200</f>
        <v>33.99</v>
      </c>
      <c r="F57" s="70">
        <f t="shared" si="1"/>
        <v>0</v>
      </c>
      <c r="G57" s="513"/>
      <c r="H57" s="514"/>
      <c r="I57" s="514"/>
      <c r="J57" s="515"/>
    </row>
    <row r="58" spans="2:15" x14ac:dyDescent="0.3">
      <c r="B58" s="520"/>
      <c r="C58" s="75" t="s">
        <v>1335</v>
      </c>
      <c r="D58" s="11" t="s">
        <v>711</v>
      </c>
      <c r="E58" s="79">
        <f>Estimate!N1107+Estimate!N1156</f>
        <v>1100</v>
      </c>
      <c r="F58" s="70">
        <f t="shared" si="1"/>
        <v>0</v>
      </c>
      <c r="G58" s="513"/>
      <c r="H58" s="514"/>
      <c r="I58" s="514"/>
      <c r="J58" s="515"/>
    </row>
    <row r="59" spans="2:15" x14ac:dyDescent="0.3">
      <c r="B59" s="520"/>
      <c r="C59" s="75" t="s">
        <v>1334</v>
      </c>
      <c r="D59" s="11" t="s">
        <v>129</v>
      </c>
      <c r="E59" s="79">
        <f>Estimate!N1066</f>
        <v>0</v>
      </c>
      <c r="F59" s="70">
        <f t="shared" si="1"/>
        <v>0</v>
      </c>
      <c r="G59" s="513"/>
      <c r="H59" s="514"/>
      <c r="I59" s="514"/>
      <c r="J59" s="515"/>
    </row>
    <row r="60" spans="2:15" x14ac:dyDescent="0.3">
      <c r="B60" s="520"/>
      <c r="C60" s="75" t="s">
        <v>1336</v>
      </c>
      <c r="D60" s="11" t="s">
        <v>710</v>
      </c>
      <c r="E60" s="79">
        <f>Estimate!N1170</f>
        <v>0</v>
      </c>
      <c r="F60" s="70">
        <f t="shared" si="1"/>
        <v>0</v>
      </c>
      <c r="G60" s="513"/>
      <c r="H60" s="514"/>
      <c r="I60" s="514"/>
      <c r="J60" s="515"/>
    </row>
    <row r="61" spans="2:15" x14ac:dyDescent="0.3">
      <c r="B61" s="520"/>
      <c r="C61" s="75" t="s">
        <v>1337</v>
      </c>
      <c r="D61" s="11" t="s">
        <v>709</v>
      </c>
      <c r="E61" s="79">
        <f>Estimate!N1180</f>
        <v>0</v>
      </c>
      <c r="F61" s="70">
        <f t="shared" si="1"/>
        <v>0</v>
      </c>
      <c r="G61" s="513"/>
      <c r="H61" s="514"/>
      <c r="I61" s="514"/>
      <c r="J61" s="515"/>
    </row>
    <row r="62" spans="2:15" x14ac:dyDescent="0.3">
      <c r="B62" s="521"/>
      <c r="C62" s="80" t="s">
        <v>1337</v>
      </c>
      <c r="D62" s="81" t="s">
        <v>708</v>
      </c>
      <c r="E62" s="82">
        <f>Estimate!N1192</f>
        <v>0</v>
      </c>
      <c r="F62" s="83">
        <f t="shared" si="1"/>
        <v>0</v>
      </c>
      <c r="G62" s="516"/>
      <c r="H62" s="517"/>
      <c r="I62" s="517"/>
      <c r="J62" s="518"/>
    </row>
    <row r="63" spans="2:15" s="55" customFormat="1" ht="15" thickBot="1" x14ac:dyDescent="0.3">
      <c r="B63" s="130"/>
      <c r="C63" s="131"/>
      <c r="D63" s="166" t="s">
        <v>716</v>
      </c>
      <c r="E63" s="167">
        <f>SUM(E26:E62)</f>
        <v>6183.99</v>
      </c>
      <c r="F63" s="168">
        <f>IF($E$6=0,0,E63/$E$6)</f>
        <v>0</v>
      </c>
      <c r="G63" s="166" t="s">
        <v>603</v>
      </c>
      <c r="H63" s="132"/>
      <c r="I63" s="532"/>
      <c r="J63" s="533"/>
      <c r="L63" s="206" t="str">
        <f>IF(E63=Estimate!N328,"BLDG CHECKS","ERROR - CHECK SUMS")</f>
        <v>BLDG CHECKS</v>
      </c>
      <c r="M63" s="205">
        <f>E63</f>
        <v>6183.99</v>
      </c>
      <c r="N63" s="205">
        <f>Estimate!N328</f>
        <v>6183.99</v>
      </c>
      <c r="O63" s="205">
        <f>M63-N63</f>
        <v>0</v>
      </c>
    </row>
    <row r="64" spans="2:15" ht="4.5" customHeight="1" thickBot="1" x14ac:dyDescent="0.35">
      <c r="B64" s="534"/>
      <c r="C64" s="534"/>
      <c r="D64" s="534"/>
      <c r="E64" s="534"/>
      <c r="F64" s="534"/>
      <c r="G64" s="534"/>
      <c r="H64" s="534"/>
      <c r="I64" s="534"/>
      <c r="J64" s="534"/>
    </row>
    <row r="65" spans="2:20" s="55" customFormat="1" ht="15" thickBot="1" x14ac:dyDescent="0.3">
      <c r="B65" s="133"/>
      <c r="C65" s="134"/>
      <c r="D65" s="169" t="s">
        <v>717</v>
      </c>
      <c r="E65" s="170">
        <f>E23+E63</f>
        <v>6183.99</v>
      </c>
      <c r="F65" s="171">
        <f>IF($E$6=0,0,E65/$E$6)</f>
        <v>0</v>
      </c>
      <c r="G65" s="169" t="s">
        <v>603</v>
      </c>
      <c r="H65" s="135"/>
      <c r="I65" s="545"/>
      <c r="J65" s="546"/>
    </row>
    <row r="66" spans="2:20" ht="4.5" customHeight="1" thickBot="1" x14ac:dyDescent="0.35">
      <c r="B66" s="534"/>
      <c r="C66" s="534"/>
      <c r="D66" s="534"/>
      <c r="E66" s="534"/>
      <c r="F66" s="534"/>
      <c r="G66" s="534"/>
      <c r="H66" s="534"/>
      <c r="I66" s="534"/>
      <c r="J66" s="534"/>
    </row>
    <row r="67" spans="2:20" x14ac:dyDescent="0.3">
      <c r="B67" s="522" t="s">
        <v>712</v>
      </c>
      <c r="C67" s="88" t="s">
        <v>1286</v>
      </c>
      <c r="D67" s="89" t="s">
        <v>713</v>
      </c>
      <c r="E67" s="90">
        <f>Estimate!N9+Estimate!N1211</f>
        <v>0</v>
      </c>
      <c r="F67" s="91">
        <f t="shared" ref="F67:F73" si="2">IF($E$6=0,0,E67/$E$6)</f>
        <v>0</v>
      </c>
      <c r="G67" s="525"/>
      <c r="H67" s="525"/>
      <c r="I67" s="525"/>
      <c r="J67" s="526"/>
    </row>
    <row r="68" spans="2:20" x14ac:dyDescent="0.3">
      <c r="B68" s="523"/>
      <c r="C68" s="75" t="s">
        <v>1339</v>
      </c>
      <c r="D68" s="11" t="s">
        <v>653</v>
      </c>
      <c r="E68" s="79">
        <f>Estimate!M1243</f>
        <v>40.396914674999998</v>
      </c>
      <c r="F68" s="70">
        <f t="shared" si="2"/>
        <v>0</v>
      </c>
      <c r="G68" s="513"/>
      <c r="H68" s="514"/>
      <c r="I68" s="514"/>
      <c r="J68" s="515"/>
    </row>
    <row r="69" spans="2:20" x14ac:dyDescent="0.3">
      <c r="B69" s="523"/>
      <c r="C69" s="75" t="s">
        <v>1339</v>
      </c>
      <c r="D69" s="11" t="s">
        <v>36</v>
      </c>
      <c r="E69" s="79">
        <f>Estimate!M1244</f>
        <v>0</v>
      </c>
      <c r="F69" s="70">
        <f t="shared" si="2"/>
        <v>0</v>
      </c>
      <c r="G69" s="513"/>
      <c r="H69" s="514"/>
      <c r="I69" s="514" t="s">
        <v>6</v>
      </c>
      <c r="J69" s="515"/>
    </row>
    <row r="70" spans="2:20" x14ac:dyDescent="0.3">
      <c r="B70" s="523"/>
      <c r="C70" s="75" t="s">
        <v>1339</v>
      </c>
      <c r="D70" s="11" t="s">
        <v>159</v>
      </c>
      <c r="E70" s="79">
        <f>Estimate!N1220</f>
        <v>0</v>
      </c>
      <c r="F70" s="70">
        <f t="shared" si="2"/>
        <v>0</v>
      </c>
      <c r="G70" s="513"/>
      <c r="H70" s="514"/>
      <c r="I70" s="514"/>
      <c r="J70" s="515"/>
    </row>
    <row r="71" spans="2:20" x14ac:dyDescent="0.3">
      <c r="B71" s="523"/>
      <c r="C71" s="75" t="s">
        <v>1339</v>
      </c>
      <c r="D71" s="11" t="s">
        <v>714</v>
      </c>
      <c r="E71" s="79">
        <f>Estimate!N1232</f>
        <v>0</v>
      </c>
      <c r="F71" s="70">
        <f t="shared" si="2"/>
        <v>0</v>
      </c>
      <c r="G71" s="513"/>
      <c r="H71" s="514"/>
      <c r="I71" s="514"/>
      <c r="J71" s="515"/>
      <c r="T71" s="319"/>
    </row>
    <row r="72" spans="2:20" x14ac:dyDescent="0.3">
      <c r="B72" s="523"/>
      <c r="C72" s="75" t="s">
        <v>1339</v>
      </c>
      <c r="D72" s="11" t="s">
        <v>492</v>
      </c>
      <c r="E72" s="79">
        <f>Estimate!N1215</f>
        <v>30.91995</v>
      </c>
      <c r="F72" s="70">
        <f t="shared" si="2"/>
        <v>0</v>
      </c>
      <c r="G72" s="513"/>
      <c r="H72" s="514"/>
      <c r="I72" s="514"/>
      <c r="J72" s="515"/>
      <c r="T72" s="320"/>
    </row>
    <row r="73" spans="2:20" x14ac:dyDescent="0.3">
      <c r="B73" s="524"/>
      <c r="C73" s="80" t="s">
        <v>1339</v>
      </c>
      <c r="D73" s="81" t="s">
        <v>715</v>
      </c>
      <c r="E73" s="82">
        <f>Estimate!N1248</f>
        <v>312.76534323375</v>
      </c>
      <c r="F73" s="83">
        <f t="shared" si="2"/>
        <v>0</v>
      </c>
      <c r="G73" s="535"/>
      <c r="H73" s="536"/>
      <c r="I73" s="536"/>
      <c r="J73" s="537"/>
      <c r="T73" s="321"/>
    </row>
    <row r="74" spans="2:20" s="55" customFormat="1" ht="15" thickBot="1" x14ac:dyDescent="0.3">
      <c r="B74" s="130"/>
      <c r="C74" s="131"/>
      <c r="D74" s="166" t="s">
        <v>718</v>
      </c>
      <c r="E74" s="167">
        <f>SUM(E67:E73)</f>
        <v>384.08220790874998</v>
      </c>
      <c r="F74" s="168">
        <f>IF($E$6=0,0,E74/$E$6)</f>
        <v>0</v>
      </c>
      <c r="G74" s="166" t="s">
        <v>603</v>
      </c>
      <c r="H74" s="132"/>
      <c r="I74" s="532"/>
      <c r="J74" s="533"/>
      <c r="L74" s="206" t="str">
        <f>IF(E74=Estimate!N1209+Estimate!N9,"GCs &amp; FEE CHECKS","ERROR - CHECK SUMS")</f>
        <v>GCs &amp; FEE CHECKS</v>
      </c>
      <c r="M74" s="205">
        <f>E74</f>
        <v>384.08220790874998</v>
      </c>
      <c r="N74" s="205">
        <f>Estimate!N1209+Estimate!N9</f>
        <v>384.08220790874998</v>
      </c>
      <c r="O74" s="205">
        <f>M74-N74</f>
        <v>0</v>
      </c>
    </row>
    <row r="75" spans="2:20" ht="4.5" customHeight="1" thickBot="1" x14ac:dyDescent="0.35">
      <c r="B75" s="534"/>
      <c r="C75" s="534"/>
      <c r="D75" s="534"/>
      <c r="E75" s="534"/>
      <c r="F75" s="534"/>
      <c r="G75" s="534"/>
      <c r="H75" s="534"/>
      <c r="I75" s="534"/>
      <c r="J75" s="534"/>
    </row>
    <row r="76" spans="2:20" x14ac:dyDescent="0.3">
      <c r="B76" s="519" t="s">
        <v>667</v>
      </c>
      <c r="C76" s="88" t="s">
        <v>1339</v>
      </c>
      <c r="D76" s="89" t="str">
        <f>Estimate!E1255</f>
        <v>Landscaping &amp; Irrigation</v>
      </c>
      <c r="E76" s="90">
        <f>Estimate!J1255</f>
        <v>0</v>
      </c>
      <c r="F76" s="91">
        <f t="shared" ref="F76:F87" si="3">IF($E$6=0,0,E76/$E$6)</f>
        <v>0</v>
      </c>
      <c r="G76" s="529"/>
      <c r="H76" s="530"/>
      <c r="I76" s="530"/>
      <c r="J76" s="531"/>
    </row>
    <row r="77" spans="2:20" x14ac:dyDescent="0.3">
      <c r="B77" s="520"/>
      <c r="C77" s="75" t="s">
        <v>1339</v>
      </c>
      <c r="D77" s="11" t="str">
        <f>Estimate!E1256</f>
        <v>Allowance #2</v>
      </c>
      <c r="E77" s="79">
        <f>Estimate!J1256</f>
        <v>0</v>
      </c>
      <c r="F77" s="70">
        <f t="shared" si="3"/>
        <v>0</v>
      </c>
      <c r="G77" s="513"/>
      <c r="H77" s="514"/>
      <c r="I77" s="514"/>
      <c r="J77" s="515"/>
    </row>
    <row r="78" spans="2:20" x14ac:dyDescent="0.3">
      <c r="B78" s="520"/>
      <c r="C78" s="75" t="s">
        <v>1339</v>
      </c>
      <c r="D78" s="11" t="str">
        <f>Estimate!E1257</f>
        <v>Allowance #3</v>
      </c>
      <c r="E78" s="79">
        <f>Estimate!J1257</f>
        <v>0</v>
      </c>
      <c r="F78" s="70">
        <f t="shared" si="3"/>
        <v>0</v>
      </c>
      <c r="G78" s="513"/>
      <c r="H78" s="514"/>
      <c r="I78" s="514"/>
      <c r="J78" s="515"/>
    </row>
    <row r="79" spans="2:20" x14ac:dyDescent="0.3">
      <c r="B79" s="520"/>
      <c r="C79" s="75" t="s">
        <v>1339</v>
      </c>
      <c r="D79" s="11" t="str">
        <f>Estimate!E1258</f>
        <v>Allowance #4</v>
      </c>
      <c r="E79" s="79">
        <f>Estimate!J1258</f>
        <v>0</v>
      </c>
      <c r="F79" s="70">
        <f t="shared" si="3"/>
        <v>0</v>
      </c>
      <c r="G79" s="513"/>
      <c r="H79" s="514"/>
      <c r="I79" s="514"/>
      <c r="J79" s="515"/>
    </row>
    <row r="80" spans="2:20" x14ac:dyDescent="0.3">
      <c r="B80" s="520"/>
      <c r="C80" s="75" t="s">
        <v>1339</v>
      </c>
      <c r="D80" s="11" t="str">
        <f>Estimate!E1259</f>
        <v>Allowance #5</v>
      </c>
      <c r="E80" s="79">
        <f>Estimate!J1259</f>
        <v>0</v>
      </c>
      <c r="F80" s="70">
        <f t="shared" si="3"/>
        <v>0</v>
      </c>
      <c r="G80" s="513"/>
      <c r="H80" s="514"/>
      <c r="I80" s="514"/>
      <c r="J80" s="515"/>
    </row>
    <row r="81" spans="2:15" x14ac:dyDescent="0.3">
      <c r="B81" s="520"/>
      <c r="C81" s="75" t="s">
        <v>1339</v>
      </c>
      <c r="D81" s="11" t="str">
        <f>Estimate!E1260</f>
        <v>Allowance #6</v>
      </c>
      <c r="E81" s="79">
        <f>Estimate!J1260</f>
        <v>0</v>
      </c>
      <c r="F81" s="70">
        <f t="shared" si="3"/>
        <v>0</v>
      </c>
      <c r="G81" s="513"/>
      <c r="H81" s="514"/>
      <c r="I81" s="514"/>
      <c r="J81" s="515"/>
    </row>
    <row r="82" spans="2:15" x14ac:dyDescent="0.3">
      <c r="B82" s="520"/>
      <c r="C82" s="75" t="s">
        <v>1339</v>
      </c>
      <c r="D82" s="11" t="str">
        <f>Estimate!E1261</f>
        <v>Allowance #7</v>
      </c>
      <c r="E82" s="79">
        <f>Estimate!J1261</f>
        <v>0</v>
      </c>
      <c r="F82" s="70">
        <f t="shared" si="3"/>
        <v>0</v>
      </c>
      <c r="G82" s="513"/>
      <c r="H82" s="514"/>
      <c r="I82" s="514"/>
      <c r="J82" s="515"/>
    </row>
    <row r="83" spans="2:15" x14ac:dyDescent="0.3">
      <c r="B83" s="520"/>
      <c r="C83" s="75" t="s">
        <v>1339</v>
      </c>
      <c r="D83" s="11" t="str">
        <f>Estimate!E1262</f>
        <v>Allowance #8</v>
      </c>
      <c r="E83" s="79">
        <f>Estimate!J1262</f>
        <v>0</v>
      </c>
      <c r="F83" s="70">
        <f t="shared" si="3"/>
        <v>0</v>
      </c>
      <c r="G83" s="513"/>
      <c r="H83" s="514"/>
      <c r="I83" s="514"/>
      <c r="J83" s="515"/>
    </row>
    <row r="84" spans="2:15" x14ac:dyDescent="0.3">
      <c r="B84" s="520"/>
      <c r="C84" s="75" t="s">
        <v>1339</v>
      </c>
      <c r="D84" s="11" t="str">
        <f>Estimate!E1263</f>
        <v>Allowance #9</v>
      </c>
      <c r="E84" s="79">
        <f>Estimate!J1263</f>
        <v>0</v>
      </c>
      <c r="F84" s="70">
        <f t="shared" si="3"/>
        <v>0</v>
      </c>
      <c r="G84" s="513"/>
      <c r="H84" s="514"/>
      <c r="I84" s="514"/>
      <c r="J84" s="515"/>
    </row>
    <row r="85" spans="2:15" x14ac:dyDescent="0.3">
      <c r="B85" s="520"/>
      <c r="C85" s="75" t="s">
        <v>1339</v>
      </c>
      <c r="D85" s="11" t="str">
        <f>Estimate!E1264</f>
        <v>Allowance #10</v>
      </c>
      <c r="E85" s="79">
        <f>Estimate!J1264</f>
        <v>0</v>
      </c>
      <c r="F85" s="70">
        <f t="shared" si="3"/>
        <v>0</v>
      </c>
      <c r="G85" s="513"/>
      <c r="H85" s="514"/>
      <c r="I85" s="514"/>
      <c r="J85" s="515"/>
    </row>
    <row r="86" spans="2:15" x14ac:dyDescent="0.3">
      <c r="B86" s="520"/>
      <c r="C86" s="75" t="s">
        <v>1339</v>
      </c>
      <c r="D86" s="11" t="str">
        <f>Estimate!E1265</f>
        <v>Allowance #11</v>
      </c>
      <c r="E86" s="79">
        <f>Estimate!J1265</f>
        <v>0</v>
      </c>
      <c r="F86" s="70">
        <f t="shared" si="3"/>
        <v>0</v>
      </c>
      <c r="G86" s="513"/>
      <c r="H86" s="514"/>
      <c r="I86" s="514"/>
      <c r="J86" s="515"/>
    </row>
    <row r="87" spans="2:15" x14ac:dyDescent="0.3">
      <c r="B87" s="521"/>
      <c r="C87" s="80" t="s">
        <v>1339</v>
      </c>
      <c r="D87" s="81" t="str">
        <f>Estimate!E1266</f>
        <v>Allowance #12</v>
      </c>
      <c r="E87" s="82">
        <f>Estimate!J1266</f>
        <v>0</v>
      </c>
      <c r="F87" s="83">
        <f t="shared" si="3"/>
        <v>0</v>
      </c>
      <c r="G87" s="516"/>
      <c r="H87" s="517"/>
      <c r="I87" s="517"/>
      <c r="J87" s="518"/>
    </row>
    <row r="88" spans="2:15" s="55" customFormat="1" ht="15" thickBot="1" x14ac:dyDescent="0.3">
      <c r="B88" s="130"/>
      <c r="C88" s="131"/>
      <c r="D88" s="166" t="s">
        <v>719</v>
      </c>
      <c r="E88" s="167">
        <f>SUM(E76:E87)</f>
        <v>0</v>
      </c>
      <c r="F88" s="168">
        <f>IF($E$6=0,0,E88/$E$6)</f>
        <v>0</v>
      </c>
      <c r="G88" s="166" t="s">
        <v>603</v>
      </c>
      <c r="H88" s="132"/>
      <c r="I88" s="532"/>
      <c r="J88" s="533"/>
      <c r="L88" s="206" t="str">
        <f>IF(E88=Estimate!N1253,"ALLOWANCES CHECK","ERROR - CHECK SUMS")</f>
        <v>ALLOWANCES CHECK</v>
      </c>
      <c r="M88" s="205">
        <f>E88</f>
        <v>0</v>
      </c>
      <c r="N88" s="205">
        <f>Estimate!N1253</f>
        <v>0</v>
      </c>
      <c r="O88" s="205">
        <f>M88-N88</f>
        <v>0</v>
      </c>
    </row>
    <row r="89" spans="2:15" ht="4.5" customHeight="1" thickBot="1" x14ac:dyDescent="0.35">
      <c r="B89" s="534"/>
      <c r="C89" s="534"/>
      <c r="D89" s="534"/>
      <c r="E89" s="534"/>
      <c r="F89" s="534"/>
      <c r="G89" s="534"/>
      <c r="H89" s="534"/>
      <c r="I89" s="534"/>
      <c r="J89" s="534"/>
    </row>
    <row r="90" spans="2:15" s="55" customFormat="1" ht="16" thickBot="1" x14ac:dyDescent="0.3">
      <c r="B90" s="136"/>
      <c r="C90" s="137"/>
      <c r="D90" s="172" t="s">
        <v>669</v>
      </c>
      <c r="E90" s="173">
        <f>E65+E74+E88</f>
        <v>6568.07220790875</v>
      </c>
      <c r="F90" s="174">
        <f>IF($E$6=0,0,E90/$E$6)</f>
        <v>0</v>
      </c>
      <c r="G90" s="172" t="s">
        <v>603</v>
      </c>
      <c r="H90" s="135"/>
      <c r="I90" s="539"/>
      <c r="J90" s="540"/>
      <c r="L90" s="206" t="str">
        <f>IF(E90=Estimate!N1269,"PROJECT TOTAL CHECKS","ERROR - CHECK SUMS")</f>
        <v>PROJECT TOTAL CHECKS</v>
      </c>
      <c r="M90" s="205">
        <f>E90</f>
        <v>6568.07220790875</v>
      </c>
      <c r="N90" s="205">
        <f>Estimate!N1269</f>
        <v>6568.07220790875</v>
      </c>
      <c r="O90" s="205">
        <f>M90-N90</f>
        <v>0</v>
      </c>
    </row>
    <row r="91" spans="2:15" ht="6.75" customHeight="1" x14ac:dyDescent="0.3">
      <c r="C91" s="71"/>
      <c r="I91" s="538"/>
      <c r="J91" s="538"/>
    </row>
    <row r="92" spans="2:15" ht="13.5" thickBot="1" x14ac:dyDescent="0.35">
      <c r="C92" s="71"/>
      <c r="G92" s="534"/>
      <c r="H92" s="534"/>
      <c r="I92" s="534"/>
      <c r="J92" s="534"/>
    </row>
    <row r="93" spans="2:15" x14ac:dyDescent="0.3">
      <c r="B93" s="547" t="s">
        <v>738</v>
      </c>
      <c r="C93" s="175" t="str">
        <f>Estimate!D1273</f>
        <v>1</v>
      </c>
      <c r="D93" s="90" t="str">
        <f>IF(Estimate!E1273="","",Estimate!E1273)</f>
        <v>Alternate No. 1</v>
      </c>
      <c r="E93" s="363" t="str">
        <f>IF(Estimate!I1273=0,"",Estimate!I1273)</f>
        <v/>
      </c>
      <c r="F93" s="89" t="str">
        <f>Estimate!J1273</f>
        <v/>
      </c>
      <c r="G93" s="525"/>
      <c r="H93" s="525"/>
      <c r="I93" s="525"/>
      <c r="J93" s="526"/>
    </row>
    <row r="94" spans="2:15" x14ac:dyDescent="0.3">
      <c r="B94" s="548"/>
      <c r="C94" s="177" t="str">
        <f>Estimate!D1274</f>
        <v/>
      </c>
      <c r="D94" s="79" t="str">
        <f>IF(Estimate!E1274="","",Estimate!E1274)</f>
        <v/>
      </c>
      <c r="E94" s="364" t="str">
        <f>IF(Estimate!I1274=0,"",Estimate!I1274)</f>
        <v/>
      </c>
      <c r="F94" s="11" t="str">
        <f>Estimate!J1274</f>
        <v/>
      </c>
      <c r="G94" s="541"/>
      <c r="H94" s="541"/>
      <c r="I94" s="541"/>
      <c r="J94" s="542"/>
    </row>
    <row r="95" spans="2:15" x14ac:dyDescent="0.3">
      <c r="B95" s="548"/>
      <c r="C95" s="177" t="str">
        <f>Estimate!D1275</f>
        <v/>
      </c>
      <c r="D95" s="79" t="str">
        <f>IF(Estimate!E1275="","",Estimate!E1275)</f>
        <v/>
      </c>
      <c r="E95" s="364" t="str">
        <f>IF(Estimate!I1275=0,"",Estimate!I1275)</f>
        <v/>
      </c>
      <c r="F95" s="11" t="str">
        <f>Estimate!J1275</f>
        <v/>
      </c>
      <c r="G95" s="541"/>
      <c r="H95" s="541"/>
      <c r="I95" s="541"/>
      <c r="J95" s="542"/>
    </row>
    <row r="96" spans="2:15" x14ac:dyDescent="0.3">
      <c r="B96" s="548"/>
      <c r="C96" s="177" t="str">
        <f>Estimate!D1276</f>
        <v/>
      </c>
      <c r="D96" s="79" t="str">
        <f>IF(Estimate!E1276="","",Estimate!E1276)</f>
        <v/>
      </c>
      <c r="E96" s="364" t="str">
        <f>IF(Estimate!I1276=0,"",Estimate!I1276)</f>
        <v/>
      </c>
      <c r="F96" s="11" t="str">
        <f>Estimate!J1276</f>
        <v/>
      </c>
      <c r="G96" s="541"/>
      <c r="H96" s="541"/>
      <c r="I96" s="541"/>
      <c r="J96" s="542"/>
    </row>
    <row r="97" spans="2:10" x14ac:dyDescent="0.3">
      <c r="B97" s="548"/>
      <c r="C97" s="177" t="str">
        <f>Estimate!D1277</f>
        <v/>
      </c>
      <c r="D97" s="79" t="str">
        <f>IF(Estimate!E1277="","",Estimate!E1277)</f>
        <v/>
      </c>
      <c r="E97" s="364" t="str">
        <f>IF(Estimate!I1277=0,"",Estimate!I1277)</f>
        <v/>
      </c>
      <c r="F97" s="11" t="str">
        <f>Estimate!J1277</f>
        <v/>
      </c>
      <c r="G97" s="541"/>
      <c r="H97" s="541"/>
      <c r="I97" s="541"/>
      <c r="J97" s="542"/>
    </row>
    <row r="98" spans="2:10" x14ac:dyDescent="0.3">
      <c r="B98" s="548"/>
      <c r="C98" s="177" t="str">
        <f>Estimate!D1278</f>
        <v/>
      </c>
      <c r="D98" s="79" t="str">
        <f>IF(Estimate!E1278="","",Estimate!E1278)</f>
        <v/>
      </c>
      <c r="E98" s="364" t="str">
        <f>IF(Estimate!I1278=0,"",Estimate!I1278)</f>
        <v/>
      </c>
      <c r="F98" s="11" t="str">
        <f>Estimate!J1278</f>
        <v/>
      </c>
      <c r="G98" s="541"/>
      <c r="H98" s="541"/>
      <c r="I98" s="541"/>
      <c r="J98" s="542"/>
    </row>
    <row r="99" spans="2:10" x14ac:dyDescent="0.3">
      <c r="B99" s="548"/>
      <c r="C99" s="177" t="str">
        <f>Estimate!D1279</f>
        <v/>
      </c>
      <c r="D99" s="79" t="str">
        <f>IF(Estimate!E1279="","",Estimate!E1279)</f>
        <v/>
      </c>
      <c r="E99" s="364" t="str">
        <f>IF(Estimate!I1279=0,"",Estimate!I1279)</f>
        <v/>
      </c>
      <c r="F99" s="11" t="str">
        <f>Estimate!J1279</f>
        <v/>
      </c>
      <c r="G99" s="541"/>
      <c r="H99" s="541"/>
      <c r="I99" s="541"/>
      <c r="J99" s="542"/>
    </row>
    <row r="100" spans="2:10" x14ac:dyDescent="0.3">
      <c r="B100" s="548"/>
      <c r="C100" s="177" t="str">
        <f>Estimate!D1280</f>
        <v/>
      </c>
      <c r="D100" s="79" t="str">
        <f>IF(Estimate!E1280="","",Estimate!E1280)</f>
        <v/>
      </c>
      <c r="E100" s="364" t="str">
        <f>IF(Estimate!I1280=0,"",Estimate!I1280)</f>
        <v/>
      </c>
      <c r="F100" s="11" t="str">
        <f>Estimate!J1280</f>
        <v/>
      </c>
      <c r="G100" s="541"/>
      <c r="H100" s="541"/>
      <c r="I100" s="541"/>
      <c r="J100" s="542"/>
    </row>
    <row r="101" spans="2:10" x14ac:dyDescent="0.3">
      <c r="B101" s="548"/>
      <c r="C101" s="177" t="str">
        <f>Estimate!D1281</f>
        <v/>
      </c>
      <c r="D101" s="79" t="str">
        <f>IF(Estimate!E1281="","",Estimate!E1281)</f>
        <v/>
      </c>
      <c r="E101" s="364" t="str">
        <f>IF(Estimate!I1281=0,"",Estimate!I1281)</f>
        <v/>
      </c>
      <c r="F101" s="11" t="str">
        <f>Estimate!J1281</f>
        <v/>
      </c>
      <c r="G101" s="541"/>
      <c r="H101" s="541"/>
      <c r="I101" s="541"/>
      <c r="J101" s="542"/>
    </row>
    <row r="102" spans="2:10" x14ac:dyDescent="0.3">
      <c r="B102" s="548"/>
      <c r="C102" s="177" t="str">
        <f>Estimate!D1282</f>
        <v/>
      </c>
      <c r="D102" s="79" t="str">
        <f>IF(Estimate!E1282="","",Estimate!E1282)</f>
        <v/>
      </c>
      <c r="E102" s="364" t="str">
        <f>IF(Estimate!I1282=0,"",Estimate!I1282)</f>
        <v/>
      </c>
      <c r="F102" s="11"/>
      <c r="G102" s="541"/>
      <c r="H102" s="541"/>
      <c r="I102" s="541"/>
      <c r="J102" s="542"/>
    </row>
    <row r="103" spans="2:10" x14ac:dyDescent="0.3">
      <c r="B103" s="548"/>
      <c r="C103" s="177" t="str">
        <f>Estimate!D1283</f>
        <v/>
      </c>
      <c r="D103" s="79" t="str">
        <f>IF(Estimate!E1283="","",Estimate!E1283)</f>
        <v/>
      </c>
      <c r="E103" s="364" t="str">
        <f>IF(Estimate!I1283=0,"",Estimate!I1283)</f>
        <v/>
      </c>
      <c r="F103" s="11"/>
      <c r="G103" s="541"/>
      <c r="H103" s="541"/>
      <c r="I103" s="541"/>
      <c r="J103" s="542"/>
    </row>
    <row r="104" spans="2:10" x14ac:dyDescent="0.3">
      <c r="B104" s="548"/>
      <c r="C104" s="177" t="str">
        <f>Estimate!D1284</f>
        <v/>
      </c>
      <c r="D104" s="79" t="str">
        <f>IF(Estimate!E1284="","",Estimate!E1284)</f>
        <v/>
      </c>
      <c r="E104" s="364" t="str">
        <f>IF(Estimate!I1284=0,"",Estimate!I1284)</f>
        <v/>
      </c>
      <c r="F104" s="11"/>
      <c r="G104" s="541"/>
      <c r="H104" s="541"/>
      <c r="I104" s="541"/>
      <c r="J104" s="542"/>
    </row>
    <row r="105" spans="2:10" x14ac:dyDescent="0.3">
      <c r="B105" s="548"/>
      <c r="C105" s="177" t="str">
        <f>Estimate!D1285</f>
        <v/>
      </c>
      <c r="D105" s="79" t="str">
        <f>IF(Estimate!E1285="","",Estimate!E1285)</f>
        <v/>
      </c>
      <c r="E105" s="364" t="str">
        <f>IF(Estimate!I1285=0,"",Estimate!I1285)</f>
        <v/>
      </c>
      <c r="F105" s="11"/>
      <c r="G105" s="541"/>
      <c r="H105" s="541"/>
      <c r="I105" s="541"/>
      <c r="J105" s="542"/>
    </row>
    <row r="106" spans="2:10" ht="13.5" thickBot="1" x14ac:dyDescent="0.35">
      <c r="B106" s="549"/>
      <c r="C106" s="176"/>
      <c r="D106" s="115"/>
      <c r="E106" s="365"/>
      <c r="F106" s="115"/>
      <c r="G106" s="543"/>
      <c r="H106" s="543"/>
      <c r="I106" s="543"/>
      <c r="J106" s="544"/>
    </row>
    <row r="107" spans="2:10" x14ac:dyDescent="0.3">
      <c r="C107" s="71"/>
      <c r="I107" s="538"/>
      <c r="J107" s="538"/>
    </row>
    <row r="108" spans="2:10" x14ac:dyDescent="0.3">
      <c r="C108" s="71"/>
      <c r="I108" s="538"/>
      <c r="J108" s="538"/>
    </row>
    <row r="109" spans="2:10" x14ac:dyDescent="0.3">
      <c r="C109" s="71"/>
      <c r="I109" s="538"/>
      <c r="J109" s="538"/>
    </row>
    <row r="110" spans="2:10" x14ac:dyDescent="0.3">
      <c r="C110" s="71"/>
      <c r="I110" s="538"/>
      <c r="J110" s="538"/>
    </row>
    <row r="111" spans="2:10" x14ac:dyDescent="0.3">
      <c r="C111" s="71"/>
      <c r="I111" s="538"/>
      <c r="J111" s="538"/>
    </row>
    <row r="112" spans="2:10" x14ac:dyDescent="0.3">
      <c r="C112" s="71"/>
      <c r="I112" s="538"/>
      <c r="J112" s="538"/>
    </row>
    <row r="113" spans="3:10" x14ac:dyDescent="0.3">
      <c r="C113" s="71"/>
      <c r="I113" s="538"/>
      <c r="J113" s="538"/>
    </row>
    <row r="114" spans="3:10" x14ac:dyDescent="0.3">
      <c r="C114" s="71"/>
      <c r="I114" s="538"/>
      <c r="J114" s="538"/>
    </row>
    <row r="115" spans="3:10" x14ac:dyDescent="0.3">
      <c r="C115" s="71"/>
      <c r="I115" s="538"/>
      <c r="J115" s="538"/>
    </row>
    <row r="116" spans="3:10" x14ac:dyDescent="0.3">
      <c r="C116" s="71"/>
      <c r="I116" s="538"/>
      <c r="J116" s="538"/>
    </row>
    <row r="117" spans="3:10" x14ac:dyDescent="0.3">
      <c r="C117" s="71"/>
      <c r="I117" s="538"/>
      <c r="J117" s="538"/>
    </row>
    <row r="118" spans="3:10" x14ac:dyDescent="0.3">
      <c r="C118" s="71"/>
      <c r="I118" s="538"/>
      <c r="J118" s="538"/>
    </row>
    <row r="119" spans="3:10" x14ac:dyDescent="0.3">
      <c r="C119" s="71"/>
      <c r="I119" s="538"/>
      <c r="J119" s="538"/>
    </row>
    <row r="120" spans="3:10" x14ac:dyDescent="0.3">
      <c r="C120" s="71"/>
      <c r="I120" s="538"/>
      <c r="J120" s="538"/>
    </row>
    <row r="121" spans="3:10" x14ac:dyDescent="0.3">
      <c r="C121" s="71"/>
      <c r="I121" s="538"/>
      <c r="J121" s="538"/>
    </row>
    <row r="122" spans="3:10" x14ac:dyDescent="0.3">
      <c r="C122" s="71"/>
      <c r="I122" s="538"/>
      <c r="J122" s="538"/>
    </row>
    <row r="123" spans="3:10" x14ac:dyDescent="0.3">
      <c r="C123" s="71"/>
      <c r="I123" s="538"/>
      <c r="J123" s="538"/>
    </row>
    <row r="124" spans="3:10" x14ac:dyDescent="0.3">
      <c r="C124" s="71"/>
      <c r="I124" s="538"/>
      <c r="J124" s="538"/>
    </row>
    <row r="125" spans="3:10" x14ac:dyDescent="0.3">
      <c r="C125" s="71"/>
      <c r="I125" s="538"/>
      <c r="J125" s="538"/>
    </row>
    <row r="126" spans="3:10" x14ac:dyDescent="0.3">
      <c r="C126" s="71"/>
      <c r="I126" s="538"/>
      <c r="J126" s="538"/>
    </row>
    <row r="127" spans="3:10" x14ac:dyDescent="0.3">
      <c r="C127" s="71"/>
      <c r="I127" s="538"/>
      <c r="J127" s="538"/>
    </row>
    <row r="128" spans="3:10" x14ac:dyDescent="0.3">
      <c r="C128" s="71"/>
      <c r="I128" s="538"/>
      <c r="J128" s="538"/>
    </row>
    <row r="129" spans="3:10" x14ac:dyDescent="0.3">
      <c r="C129" s="71"/>
      <c r="I129" s="538"/>
      <c r="J129" s="538"/>
    </row>
    <row r="130" spans="3:10" x14ac:dyDescent="0.3">
      <c r="C130" s="71"/>
      <c r="I130" s="538"/>
      <c r="J130" s="538"/>
    </row>
    <row r="131" spans="3:10" x14ac:dyDescent="0.3">
      <c r="C131" s="71"/>
      <c r="I131" s="538"/>
      <c r="J131" s="538"/>
    </row>
    <row r="132" spans="3:10" x14ac:dyDescent="0.3">
      <c r="C132" s="71"/>
    </row>
    <row r="133" spans="3:10" x14ac:dyDescent="0.3">
      <c r="C133" s="71"/>
    </row>
    <row r="134" spans="3:10" x14ac:dyDescent="0.3">
      <c r="C134" s="71"/>
    </row>
    <row r="135" spans="3:10" x14ac:dyDescent="0.3">
      <c r="C135" s="71"/>
    </row>
    <row r="136" spans="3:10" x14ac:dyDescent="0.3">
      <c r="C136" s="71"/>
    </row>
    <row r="137" spans="3:10" x14ac:dyDescent="0.3">
      <c r="C137" s="71"/>
    </row>
    <row r="138" spans="3:10" x14ac:dyDescent="0.3">
      <c r="C138" s="71"/>
    </row>
    <row r="139" spans="3:10" x14ac:dyDescent="0.3">
      <c r="C139" s="71"/>
    </row>
    <row r="140" spans="3:10" x14ac:dyDescent="0.3">
      <c r="C140" s="71"/>
    </row>
    <row r="141" spans="3:10" x14ac:dyDescent="0.3">
      <c r="C141" s="71"/>
    </row>
    <row r="142" spans="3:10" x14ac:dyDescent="0.3">
      <c r="C142" s="71"/>
    </row>
    <row r="143" spans="3:10" x14ac:dyDescent="0.3">
      <c r="C143" s="71"/>
    </row>
    <row r="144" spans="3:10" x14ac:dyDescent="0.3">
      <c r="C144" s="71"/>
    </row>
    <row r="145" spans="3:3" x14ac:dyDescent="0.3">
      <c r="C145" s="71"/>
    </row>
    <row r="146" spans="3:3" x14ac:dyDescent="0.3">
      <c r="C146" s="71"/>
    </row>
    <row r="147" spans="3:3" x14ac:dyDescent="0.3">
      <c r="C147" s="71"/>
    </row>
    <row r="148" spans="3:3" x14ac:dyDescent="0.3">
      <c r="C148" s="71"/>
    </row>
    <row r="149" spans="3:3" x14ac:dyDescent="0.3">
      <c r="C149" s="71"/>
    </row>
    <row r="150" spans="3:3" x14ac:dyDescent="0.3">
      <c r="C150" s="71"/>
    </row>
    <row r="151" spans="3:3" x14ac:dyDescent="0.3">
      <c r="C151" s="71"/>
    </row>
    <row r="152" spans="3:3" x14ac:dyDescent="0.3">
      <c r="C152" s="71"/>
    </row>
    <row r="153" spans="3:3" x14ac:dyDescent="0.3">
      <c r="C153" s="71"/>
    </row>
    <row r="154" spans="3:3" x14ac:dyDescent="0.3">
      <c r="C154" s="71"/>
    </row>
    <row r="155" spans="3:3" x14ac:dyDescent="0.3">
      <c r="C155" s="71"/>
    </row>
    <row r="156" spans="3:3" x14ac:dyDescent="0.3">
      <c r="C156" s="71"/>
    </row>
    <row r="157" spans="3:3" x14ac:dyDescent="0.3">
      <c r="C157" s="71"/>
    </row>
    <row r="158" spans="3:3" x14ac:dyDescent="0.3">
      <c r="C158" s="71"/>
    </row>
    <row r="159" spans="3:3" x14ac:dyDescent="0.3">
      <c r="C159" s="71"/>
    </row>
    <row r="160" spans="3:3" x14ac:dyDescent="0.3">
      <c r="C160" s="71"/>
    </row>
    <row r="161" spans="3:3" x14ac:dyDescent="0.3">
      <c r="C161" s="71"/>
    </row>
    <row r="162" spans="3:3" x14ac:dyDescent="0.3">
      <c r="C162" s="71"/>
    </row>
    <row r="163" spans="3:3" x14ac:dyDescent="0.3">
      <c r="C163" s="71"/>
    </row>
    <row r="164" spans="3:3" x14ac:dyDescent="0.3">
      <c r="C164" s="71"/>
    </row>
    <row r="165" spans="3:3" x14ac:dyDescent="0.3">
      <c r="C165" s="71"/>
    </row>
    <row r="166" spans="3:3" x14ac:dyDescent="0.3">
      <c r="C166" s="71"/>
    </row>
    <row r="167" spans="3:3" x14ac:dyDescent="0.3">
      <c r="C167" s="71"/>
    </row>
    <row r="168" spans="3:3" x14ac:dyDescent="0.3">
      <c r="C168" s="71"/>
    </row>
    <row r="169" spans="3:3" x14ac:dyDescent="0.3">
      <c r="C169" s="71"/>
    </row>
    <row r="170" spans="3:3" x14ac:dyDescent="0.3">
      <c r="C170" s="71"/>
    </row>
    <row r="171" spans="3:3" x14ac:dyDescent="0.3">
      <c r="C171" s="71"/>
    </row>
    <row r="172" spans="3:3" x14ac:dyDescent="0.3">
      <c r="C172" s="71"/>
    </row>
    <row r="173" spans="3:3" x14ac:dyDescent="0.3">
      <c r="C173" s="71"/>
    </row>
    <row r="174" spans="3:3" x14ac:dyDescent="0.3">
      <c r="C174" s="71"/>
    </row>
    <row r="175" spans="3:3" x14ac:dyDescent="0.3">
      <c r="C175" s="76"/>
    </row>
    <row r="176" spans="3:3" x14ac:dyDescent="0.3">
      <c r="C176" s="76"/>
    </row>
    <row r="177" spans="3:3" x14ac:dyDescent="0.3">
      <c r="C177" s="76"/>
    </row>
    <row r="178" spans="3:3" x14ac:dyDescent="0.3">
      <c r="C178" s="76"/>
    </row>
    <row r="179" spans="3:3" x14ac:dyDescent="0.3">
      <c r="C179" s="76"/>
    </row>
    <row r="180" spans="3:3" x14ac:dyDescent="0.3">
      <c r="C180" s="76"/>
    </row>
    <row r="181" spans="3:3" x14ac:dyDescent="0.3">
      <c r="C181" s="76"/>
    </row>
    <row r="182" spans="3:3" x14ac:dyDescent="0.3">
      <c r="C182" s="76"/>
    </row>
    <row r="183" spans="3:3" x14ac:dyDescent="0.3">
      <c r="C183" s="76"/>
    </row>
    <row r="184" spans="3:3" x14ac:dyDescent="0.3">
      <c r="C184" s="76"/>
    </row>
    <row r="185" spans="3:3" x14ac:dyDescent="0.3">
      <c r="C185" s="76"/>
    </row>
    <row r="186" spans="3:3" x14ac:dyDescent="0.3">
      <c r="C186" s="76"/>
    </row>
    <row r="187" spans="3:3" x14ac:dyDescent="0.3">
      <c r="C187" s="76"/>
    </row>
    <row r="188" spans="3:3" x14ac:dyDescent="0.3">
      <c r="C188" s="76"/>
    </row>
    <row r="189" spans="3:3" x14ac:dyDescent="0.3">
      <c r="C189" s="76"/>
    </row>
    <row r="190" spans="3:3" x14ac:dyDescent="0.3">
      <c r="C190" s="76"/>
    </row>
    <row r="191" spans="3:3" x14ac:dyDescent="0.3">
      <c r="C191" s="76"/>
    </row>
    <row r="192" spans="3:3" x14ac:dyDescent="0.3">
      <c r="C192" s="76"/>
    </row>
    <row r="193" spans="3:3" x14ac:dyDescent="0.3">
      <c r="C193" s="76"/>
    </row>
    <row r="194" spans="3:3" x14ac:dyDescent="0.3">
      <c r="C194" s="76"/>
    </row>
    <row r="195" spans="3:3" x14ac:dyDescent="0.3">
      <c r="C195" s="76"/>
    </row>
    <row r="196" spans="3:3" x14ac:dyDescent="0.3">
      <c r="C196" s="76"/>
    </row>
    <row r="197" spans="3:3" x14ac:dyDescent="0.3">
      <c r="C197" s="76"/>
    </row>
    <row r="198" spans="3:3" x14ac:dyDescent="0.3">
      <c r="C198" s="76"/>
    </row>
    <row r="199" spans="3:3" x14ac:dyDescent="0.3">
      <c r="C199" s="76"/>
    </row>
    <row r="200" spans="3:3" x14ac:dyDescent="0.3">
      <c r="C200" s="76"/>
    </row>
    <row r="201" spans="3:3" x14ac:dyDescent="0.3">
      <c r="C201" s="76"/>
    </row>
    <row r="202" spans="3:3" x14ac:dyDescent="0.3">
      <c r="C202" s="76"/>
    </row>
    <row r="203" spans="3:3" x14ac:dyDescent="0.3">
      <c r="C203" s="76"/>
    </row>
    <row r="204" spans="3:3" x14ac:dyDescent="0.3">
      <c r="C204" s="76"/>
    </row>
    <row r="205" spans="3:3" x14ac:dyDescent="0.3">
      <c r="C205" s="76"/>
    </row>
    <row r="206" spans="3:3" x14ac:dyDescent="0.3">
      <c r="C206" s="76"/>
    </row>
    <row r="207" spans="3:3" x14ac:dyDescent="0.3">
      <c r="C207" s="76"/>
    </row>
    <row r="208" spans="3:3" x14ac:dyDescent="0.3">
      <c r="C208" s="76"/>
    </row>
    <row r="209" spans="3:3" x14ac:dyDescent="0.3">
      <c r="C209" s="76"/>
    </row>
    <row r="210" spans="3:3" x14ac:dyDescent="0.3">
      <c r="C210" s="76"/>
    </row>
    <row r="211" spans="3:3" x14ac:dyDescent="0.3">
      <c r="C211" s="76"/>
    </row>
    <row r="212" spans="3:3" x14ac:dyDescent="0.3">
      <c r="C212" s="76"/>
    </row>
    <row r="213" spans="3:3" x14ac:dyDescent="0.3">
      <c r="C213" s="76"/>
    </row>
    <row r="214" spans="3:3" x14ac:dyDescent="0.3">
      <c r="C214" s="76"/>
    </row>
    <row r="215" spans="3:3" x14ac:dyDescent="0.3">
      <c r="C215" s="76"/>
    </row>
    <row r="216" spans="3:3" x14ac:dyDescent="0.3">
      <c r="C216" s="76"/>
    </row>
    <row r="217" spans="3:3" x14ac:dyDescent="0.3">
      <c r="C217" s="76"/>
    </row>
    <row r="218" spans="3:3" x14ac:dyDescent="0.3">
      <c r="C218" s="76"/>
    </row>
    <row r="219" spans="3:3" x14ac:dyDescent="0.3">
      <c r="C219" s="76"/>
    </row>
    <row r="220" spans="3:3" x14ac:dyDescent="0.3">
      <c r="C220" s="76"/>
    </row>
    <row r="221" spans="3:3" x14ac:dyDescent="0.3">
      <c r="C221" s="76"/>
    </row>
    <row r="222" spans="3:3" x14ac:dyDescent="0.3">
      <c r="C222" s="76"/>
    </row>
    <row r="223" spans="3:3" x14ac:dyDescent="0.3">
      <c r="C223" s="76"/>
    </row>
    <row r="224" spans="3:3" x14ac:dyDescent="0.3">
      <c r="C224" s="76"/>
    </row>
    <row r="225" spans="3:3" x14ac:dyDescent="0.3">
      <c r="C225" s="76"/>
    </row>
    <row r="226" spans="3:3" x14ac:dyDescent="0.3">
      <c r="C226" s="76"/>
    </row>
    <row r="227" spans="3:3" x14ac:dyDescent="0.3">
      <c r="C227" s="76"/>
    </row>
    <row r="228" spans="3:3" x14ac:dyDescent="0.3">
      <c r="C228" s="76"/>
    </row>
    <row r="229" spans="3:3" x14ac:dyDescent="0.3">
      <c r="C229" s="76"/>
    </row>
    <row r="230" spans="3:3" x14ac:dyDescent="0.3">
      <c r="C230" s="76"/>
    </row>
    <row r="231" spans="3:3" x14ac:dyDescent="0.3">
      <c r="C231" s="76"/>
    </row>
    <row r="232" spans="3:3" x14ac:dyDescent="0.3">
      <c r="C232" s="76"/>
    </row>
    <row r="233" spans="3:3" x14ac:dyDescent="0.3">
      <c r="C233" s="76"/>
    </row>
    <row r="234" spans="3:3" x14ac:dyDescent="0.3">
      <c r="C234" s="76"/>
    </row>
    <row r="235" spans="3:3" x14ac:dyDescent="0.3">
      <c r="C235" s="76"/>
    </row>
    <row r="236" spans="3:3" x14ac:dyDescent="0.3">
      <c r="C236" s="76"/>
    </row>
    <row r="237" spans="3:3" x14ac:dyDescent="0.3">
      <c r="C237" s="76"/>
    </row>
    <row r="238" spans="3:3" x14ac:dyDescent="0.3">
      <c r="C238" s="76"/>
    </row>
    <row r="239" spans="3:3" x14ac:dyDescent="0.3">
      <c r="C239" s="76"/>
    </row>
    <row r="240" spans="3:3" x14ac:dyDescent="0.3">
      <c r="C240" s="76"/>
    </row>
    <row r="241" spans="3:3" x14ac:dyDescent="0.3">
      <c r="C241" s="76"/>
    </row>
    <row r="242" spans="3:3" x14ac:dyDescent="0.3">
      <c r="C242" s="76"/>
    </row>
    <row r="243" spans="3:3" x14ac:dyDescent="0.3">
      <c r="C243" s="76"/>
    </row>
    <row r="244" spans="3:3" x14ac:dyDescent="0.3">
      <c r="C244" s="76"/>
    </row>
    <row r="245" spans="3:3" x14ac:dyDescent="0.3">
      <c r="C245" s="76"/>
    </row>
    <row r="246" spans="3:3" x14ac:dyDescent="0.3">
      <c r="C246" s="76"/>
    </row>
    <row r="247" spans="3:3" x14ac:dyDescent="0.3">
      <c r="C247" s="76"/>
    </row>
    <row r="248" spans="3:3" x14ac:dyDescent="0.3">
      <c r="C248" s="76"/>
    </row>
    <row r="249" spans="3:3" x14ac:dyDescent="0.3">
      <c r="C249" s="76"/>
    </row>
    <row r="250" spans="3:3" x14ac:dyDescent="0.3">
      <c r="C250" s="76"/>
    </row>
    <row r="251" spans="3:3" x14ac:dyDescent="0.3">
      <c r="C251" s="76"/>
    </row>
    <row r="252" spans="3:3" x14ac:dyDescent="0.3">
      <c r="C252" s="76"/>
    </row>
    <row r="253" spans="3:3" x14ac:dyDescent="0.3">
      <c r="C253" s="76"/>
    </row>
    <row r="254" spans="3:3" x14ac:dyDescent="0.3">
      <c r="C254" s="76"/>
    </row>
    <row r="255" spans="3:3" x14ac:dyDescent="0.3">
      <c r="C255" s="76"/>
    </row>
    <row r="256" spans="3:3" x14ac:dyDescent="0.3">
      <c r="C256" s="76"/>
    </row>
    <row r="257" spans="3:3" x14ac:dyDescent="0.3">
      <c r="C257" s="76"/>
    </row>
    <row r="258" spans="3:3" x14ac:dyDescent="0.3">
      <c r="C258" s="76"/>
    </row>
    <row r="259" spans="3:3" x14ac:dyDescent="0.3">
      <c r="C259" s="76"/>
    </row>
    <row r="260" spans="3:3" x14ac:dyDescent="0.3">
      <c r="C260" s="76"/>
    </row>
    <row r="261" spans="3:3" x14ac:dyDescent="0.3">
      <c r="C261" s="76"/>
    </row>
    <row r="262" spans="3:3" x14ac:dyDescent="0.3">
      <c r="C262" s="76"/>
    </row>
    <row r="263" spans="3:3" x14ac:dyDescent="0.3">
      <c r="C263" s="76"/>
    </row>
    <row r="264" spans="3:3" x14ac:dyDescent="0.3">
      <c r="C264" s="76"/>
    </row>
    <row r="265" spans="3:3" x14ac:dyDescent="0.3">
      <c r="C265" s="76"/>
    </row>
    <row r="266" spans="3:3" x14ac:dyDescent="0.3">
      <c r="C266" s="76"/>
    </row>
    <row r="267" spans="3:3" x14ac:dyDescent="0.3">
      <c r="C267" s="76"/>
    </row>
    <row r="268" spans="3:3" x14ac:dyDescent="0.3">
      <c r="C268" s="76"/>
    </row>
    <row r="269" spans="3:3" x14ac:dyDescent="0.3">
      <c r="C269" s="76"/>
    </row>
    <row r="270" spans="3:3" x14ac:dyDescent="0.3">
      <c r="C270" s="76"/>
    </row>
    <row r="271" spans="3:3" x14ac:dyDescent="0.3">
      <c r="C271" s="76"/>
    </row>
    <row r="272" spans="3:3" x14ac:dyDescent="0.3">
      <c r="C272" s="76"/>
    </row>
    <row r="273" spans="3:3" x14ac:dyDescent="0.3">
      <c r="C273" s="76"/>
    </row>
    <row r="274" spans="3:3" x14ac:dyDescent="0.3">
      <c r="C274" s="76"/>
    </row>
    <row r="275" spans="3:3" x14ac:dyDescent="0.3">
      <c r="C275" s="76"/>
    </row>
    <row r="276" spans="3:3" x14ac:dyDescent="0.3">
      <c r="C276" s="76"/>
    </row>
    <row r="277" spans="3:3" x14ac:dyDescent="0.3">
      <c r="C277" s="76"/>
    </row>
    <row r="278" spans="3:3" x14ac:dyDescent="0.3">
      <c r="C278" s="76"/>
    </row>
    <row r="279" spans="3:3" x14ac:dyDescent="0.3">
      <c r="C279" s="76"/>
    </row>
  </sheetData>
  <mergeCells count="135">
    <mergeCell ref="E2:F2"/>
    <mergeCell ref="B93:B106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03:J103"/>
    <mergeCell ref="G78:J78"/>
    <mergeCell ref="G79:J79"/>
    <mergeCell ref="G80:J80"/>
    <mergeCell ref="G81:J81"/>
    <mergeCell ref="G82:J82"/>
    <mergeCell ref="G83:J83"/>
    <mergeCell ref="B10:J10"/>
    <mergeCell ref="I23:J23"/>
    <mergeCell ref="I24:J24"/>
    <mergeCell ref="G26:J26"/>
    <mergeCell ref="G27:J27"/>
    <mergeCell ref="G28:J28"/>
    <mergeCell ref="G29:J29"/>
    <mergeCell ref="I127:J127"/>
    <mergeCell ref="I128:J128"/>
    <mergeCell ref="I129:J129"/>
    <mergeCell ref="I130:J130"/>
    <mergeCell ref="I131:J131"/>
    <mergeCell ref="I65:J65"/>
    <mergeCell ref="I121:J121"/>
    <mergeCell ref="I122:J122"/>
    <mergeCell ref="I123:J123"/>
    <mergeCell ref="I124:J124"/>
    <mergeCell ref="I125:J125"/>
    <mergeCell ref="I126:J126"/>
    <mergeCell ref="I115:J115"/>
    <mergeCell ref="I116:J116"/>
    <mergeCell ref="I117:J117"/>
    <mergeCell ref="I118:J118"/>
    <mergeCell ref="I119:J119"/>
    <mergeCell ref="I120:J120"/>
    <mergeCell ref="I109:J109"/>
    <mergeCell ref="I110:J110"/>
    <mergeCell ref="I74:J74"/>
    <mergeCell ref="I111:J111"/>
    <mergeCell ref="I112:J112"/>
    <mergeCell ref="I113:J113"/>
    <mergeCell ref="I114:J114"/>
    <mergeCell ref="I107:J107"/>
    <mergeCell ref="I108:J108"/>
    <mergeCell ref="I90:J90"/>
    <mergeCell ref="I88:J88"/>
    <mergeCell ref="I91:J91"/>
    <mergeCell ref="G93:J93"/>
    <mergeCell ref="G94:J94"/>
    <mergeCell ref="G104:J104"/>
    <mergeCell ref="G105:J105"/>
    <mergeCell ref="G106:J106"/>
    <mergeCell ref="G92:J92"/>
    <mergeCell ref="B89:J89"/>
    <mergeCell ref="G53:J53"/>
    <mergeCell ref="G54:J54"/>
    <mergeCell ref="G71:J71"/>
    <mergeCell ref="G72:J72"/>
    <mergeCell ref="G73:J73"/>
    <mergeCell ref="G30:J30"/>
    <mergeCell ref="G31:J31"/>
    <mergeCell ref="G32:J32"/>
    <mergeCell ref="G33:J33"/>
    <mergeCell ref="G34:J34"/>
    <mergeCell ref="G37:J37"/>
    <mergeCell ref="G38:J38"/>
    <mergeCell ref="G39:J39"/>
    <mergeCell ref="G40:J40"/>
    <mergeCell ref="G15:J15"/>
    <mergeCell ref="G16:J16"/>
    <mergeCell ref="G17:J17"/>
    <mergeCell ref="G19:J19"/>
    <mergeCell ref="G22:J22"/>
    <mergeCell ref="G35:J35"/>
    <mergeCell ref="G36:J36"/>
    <mergeCell ref="G51:J51"/>
    <mergeCell ref="G52:J52"/>
    <mergeCell ref="G20:J20"/>
    <mergeCell ref="G21:J21"/>
    <mergeCell ref="G18:J18"/>
    <mergeCell ref="E3:F3"/>
    <mergeCell ref="G76:J76"/>
    <mergeCell ref="G55:J55"/>
    <mergeCell ref="G56:J56"/>
    <mergeCell ref="G57:J57"/>
    <mergeCell ref="G58:J58"/>
    <mergeCell ref="G59:J59"/>
    <mergeCell ref="G60:J60"/>
    <mergeCell ref="G61:J61"/>
    <mergeCell ref="G62:J62"/>
    <mergeCell ref="I63:J63"/>
    <mergeCell ref="G70:J70"/>
    <mergeCell ref="G41:J41"/>
    <mergeCell ref="G42:J42"/>
    <mergeCell ref="G43:J43"/>
    <mergeCell ref="G44:J44"/>
    <mergeCell ref="G45:J45"/>
    <mergeCell ref="B8:J8"/>
    <mergeCell ref="B25:J25"/>
    <mergeCell ref="B64:J64"/>
    <mergeCell ref="B66:J66"/>
    <mergeCell ref="B75:J75"/>
    <mergeCell ref="G13:J13"/>
    <mergeCell ref="E4:F4"/>
    <mergeCell ref="E5:F5"/>
    <mergeCell ref="E6:F6"/>
    <mergeCell ref="E7:F7"/>
    <mergeCell ref="G84:J84"/>
    <mergeCell ref="G85:J85"/>
    <mergeCell ref="G86:J86"/>
    <mergeCell ref="G87:J87"/>
    <mergeCell ref="B11:B22"/>
    <mergeCell ref="B26:B62"/>
    <mergeCell ref="B67:B73"/>
    <mergeCell ref="B76:B87"/>
    <mergeCell ref="G67:J67"/>
    <mergeCell ref="G68:J68"/>
    <mergeCell ref="G69:J69"/>
    <mergeCell ref="G50:J50"/>
    <mergeCell ref="G77:J77"/>
    <mergeCell ref="G46:J46"/>
    <mergeCell ref="G47:J47"/>
    <mergeCell ref="G48:J48"/>
    <mergeCell ref="G49:J49"/>
    <mergeCell ref="G9:J9"/>
    <mergeCell ref="G11:J11"/>
    <mergeCell ref="G12:J12"/>
    <mergeCell ref="G14:J14"/>
  </mergeCells>
  <pageMargins left="0.7" right="0.7" top="0.75" bottom="0.75" header="0.3" footer="0.3"/>
  <pageSetup scale="85" fitToHeight="2" orientation="portrait" r:id="rId1"/>
  <headerFooter>
    <oddHeader>&amp;A</oddHeader>
    <oddFooter>Page &amp;P of &amp;N</oddFooter>
  </headerFooter>
  <rowBreaks count="1" manualBreakCount="1">
    <brk id="65" min="1" max="9" man="1"/>
  </rowBreaks>
  <ignoredErrors>
    <ignoredError sqref="C26:C27 C34:C35 C42 C44 C49 C68:C73 C76:C87" twoDigitTextYear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C1361"/>
  <sheetViews>
    <sheetView topLeftCell="F1" zoomScaleNormal="100" zoomScaleSheetLayoutView="85" workbookViewId="0">
      <pane ySplit="8" topLeftCell="A1271" activePane="bottomLeft" state="frozen"/>
      <selection pane="bottomLeft" activeCell="D9" sqref="D9:T1285"/>
    </sheetView>
  </sheetViews>
  <sheetFormatPr defaultColWidth="9.1796875" defaultRowHeight="13" x14ac:dyDescent="0.3"/>
  <cols>
    <col min="1" max="1" width="8.26953125" style="5" bestFit="1" customWidth="1"/>
    <col min="2" max="2" width="9.1796875" style="3"/>
    <col min="3" max="3" width="12.26953125" style="3" customWidth="1"/>
    <col min="4" max="4" width="8.54296875" style="4" customWidth="1"/>
    <col min="5" max="5" width="34" style="3" customWidth="1"/>
    <col min="6" max="6" width="18.26953125" style="4" customWidth="1"/>
    <col min="7" max="7" width="13.81640625" style="3" customWidth="1"/>
    <col min="8" max="8" width="10.36328125" style="5" customWidth="1"/>
    <col min="9" max="9" width="15.1796875" style="3" customWidth="1"/>
    <col min="10" max="10" width="19.1796875" style="3" customWidth="1"/>
    <col min="11" max="11" width="7.36328125" style="62" customWidth="1"/>
    <col min="12" max="14" width="19.1796875" style="3" customWidth="1"/>
    <col min="15" max="15" width="9.81640625" style="3" customWidth="1"/>
    <col min="16" max="16" width="4.6328125" style="3" customWidth="1"/>
    <col min="17" max="17" width="13.36328125" style="3" customWidth="1"/>
    <col min="18" max="18" width="21.54296875" style="3" customWidth="1"/>
    <col min="19" max="21" width="14.26953125" style="3" customWidth="1"/>
    <col min="22" max="16384" width="9.1796875" style="3"/>
  </cols>
  <sheetData>
    <row r="1" spans="1:21" ht="18.75" customHeight="1" thickBot="1" x14ac:dyDescent="0.5">
      <c r="E1" s="291" t="s">
        <v>1209</v>
      </c>
      <c r="F1" s="289" t="str">
        <f>IF(SUM(U9:U1270)=0,"GOOD TO GO","")</f>
        <v>GOOD TO GO</v>
      </c>
      <c r="G1" s="290" t="str">
        <f>IF(SUM(U9:U1270)=0,"","UH OH, YOU MESSED UP")</f>
        <v/>
      </c>
    </row>
    <row r="2" spans="1:21" ht="15.5" x14ac:dyDescent="0.35">
      <c r="D2" s="420"/>
      <c r="E2" s="6"/>
      <c r="F2" s="6" t="s">
        <v>932</v>
      </c>
      <c r="G2" s="499">
        <f>+'Project Info Input'!C11</f>
        <v>0</v>
      </c>
      <c r="H2" s="499"/>
      <c r="I2" s="191">
        <f>+N1269</f>
        <v>6568.07220790875</v>
      </c>
      <c r="J2" s="192" t="s">
        <v>602</v>
      </c>
      <c r="K2" s="192"/>
      <c r="L2" s="192"/>
      <c r="M2" s="192"/>
      <c r="N2" s="190"/>
      <c r="O2" s="7"/>
      <c r="Q2" s="62" t="s">
        <v>1283</v>
      </c>
      <c r="R2" s="418">
        <f>'Budget Summary'!E23</f>
        <v>0</v>
      </c>
      <c r="S2" s="419">
        <f>IFERROR(R2/$G$6,0)</f>
        <v>0</v>
      </c>
    </row>
    <row r="3" spans="1:21" ht="15.5" x14ac:dyDescent="0.35">
      <c r="D3" s="421"/>
      <c r="E3" s="193"/>
      <c r="F3" s="193" t="s">
        <v>598</v>
      </c>
      <c r="G3" s="500" t="str">
        <f>'Project Info Input'!C8</f>
        <v>Test</v>
      </c>
      <c r="H3" s="500"/>
      <c r="I3" s="194">
        <f>O1269</f>
        <v>0</v>
      </c>
      <c r="J3" s="195" t="s">
        <v>603</v>
      </c>
      <c r="K3" s="195"/>
      <c r="L3" s="195"/>
      <c r="M3" s="195"/>
      <c r="N3" s="195"/>
      <c r="O3" s="180"/>
      <c r="Q3" s="62" t="s">
        <v>688</v>
      </c>
      <c r="R3" s="418">
        <f>'Budget Summary'!E63</f>
        <v>6183.99</v>
      </c>
      <c r="S3" s="419">
        <f>IFERROR(R3/$G$6,0)</f>
        <v>0</v>
      </c>
    </row>
    <row r="4" spans="1:21" ht="15.5" x14ac:dyDescent="0.35">
      <c r="D4" s="421"/>
      <c r="E4" s="193"/>
      <c r="F4" s="193" t="s">
        <v>599</v>
      </c>
      <c r="G4" s="501" t="str">
        <f>'Project Info Input'!C10</f>
        <v>Test 1</v>
      </c>
      <c r="H4" s="501"/>
      <c r="I4" s="196">
        <f>'Project Info Input'!C31</f>
        <v>0</v>
      </c>
      <c r="J4" s="197" t="s">
        <v>923</v>
      </c>
      <c r="K4" s="197"/>
      <c r="L4" s="197"/>
      <c r="M4" s="197"/>
      <c r="N4" s="195"/>
      <c r="O4" s="8"/>
      <c r="Q4" s="62" t="s">
        <v>1284</v>
      </c>
      <c r="R4" s="418">
        <f>'Budget Summary'!E74</f>
        <v>384.08220790874998</v>
      </c>
      <c r="S4" s="419">
        <f>IFERROR(R4/$G$6,0)</f>
        <v>0</v>
      </c>
    </row>
    <row r="5" spans="1:21" ht="15.5" x14ac:dyDescent="0.35">
      <c r="D5" s="421"/>
      <c r="E5" s="193"/>
      <c r="F5" s="193" t="s">
        <v>597</v>
      </c>
      <c r="G5" s="502">
        <f>'Budget Summary'!E5</f>
        <v>0</v>
      </c>
      <c r="H5" s="502"/>
      <c r="I5" s="198" t="e">
        <f>G6/(G7*43560)</f>
        <v>#DIV/0!</v>
      </c>
      <c r="J5" s="197" t="s">
        <v>666</v>
      </c>
      <c r="K5" s="197"/>
      <c r="L5" s="197"/>
      <c r="M5" s="197"/>
      <c r="N5" s="197"/>
      <c r="O5" s="9"/>
      <c r="Q5" s="62" t="s">
        <v>667</v>
      </c>
      <c r="R5" s="419">
        <f>'Budget Summary'!E88</f>
        <v>0</v>
      </c>
      <c r="S5" s="419">
        <f>IFERROR(R5/$G$6,0)</f>
        <v>0</v>
      </c>
    </row>
    <row r="6" spans="1:21" ht="15.5" x14ac:dyDescent="0.35">
      <c r="D6" s="421"/>
      <c r="E6" s="193"/>
      <c r="F6" s="193" t="s">
        <v>600</v>
      </c>
      <c r="G6" s="501">
        <f>'Project Info Input'!C43</f>
        <v>0</v>
      </c>
      <c r="H6" s="501"/>
      <c r="I6" s="198" t="e">
        <f>G392/G6</f>
        <v>#DIV/0!</v>
      </c>
      <c r="J6" s="197" t="s">
        <v>605</v>
      </c>
      <c r="K6" s="197"/>
      <c r="L6" s="197"/>
      <c r="M6" s="197"/>
      <c r="N6" s="197"/>
      <c r="O6" s="9"/>
    </row>
    <row r="7" spans="1:21" ht="16" thickBot="1" x14ac:dyDescent="0.4">
      <c r="D7" s="422"/>
      <c r="E7" s="51"/>
      <c r="F7" s="51" t="s">
        <v>601</v>
      </c>
      <c r="G7" s="498">
        <f>'Project Info Input'!C28</f>
        <v>0</v>
      </c>
      <c r="H7" s="498"/>
      <c r="I7" s="138" t="e">
        <f>(SUM(G202:G206)+(SUM(G236:G239)*9))/G6</f>
        <v>#DIV/0!</v>
      </c>
      <c r="J7" s="53" t="s">
        <v>604</v>
      </c>
      <c r="K7" s="53"/>
      <c r="L7" s="53"/>
      <c r="M7" s="53"/>
      <c r="N7" s="53"/>
      <c r="O7" s="54"/>
      <c r="Q7" s="497" t="s">
        <v>1202</v>
      </c>
      <c r="R7" s="497"/>
      <c r="S7" s="497"/>
      <c r="T7" s="497"/>
      <c r="U7" s="497"/>
    </row>
    <row r="8" spans="1:21" ht="26.5" thickBot="1" x14ac:dyDescent="0.35">
      <c r="A8" s="5" t="s">
        <v>1211</v>
      </c>
      <c r="B8" s="464" t="s">
        <v>1360</v>
      </c>
      <c r="C8" s="464" t="s">
        <v>1359</v>
      </c>
      <c r="D8" s="465" t="s">
        <v>607</v>
      </c>
      <c r="E8" s="466" t="s">
        <v>494</v>
      </c>
      <c r="F8" s="466" t="s">
        <v>493</v>
      </c>
      <c r="G8" s="466" t="s">
        <v>5</v>
      </c>
      <c r="H8" s="466" t="s">
        <v>4</v>
      </c>
      <c r="I8" s="467" t="s">
        <v>608</v>
      </c>
      <c r="J8" s="467" t="s">
        <v>1238</v>
      </c>
      <c r="K8" s="468" t="s">
        <v>1204</v>
      </c>
      <c r="L8" s="468" t="s">
        <v>1205</v>
      </c>
      <c r="M8" s="468" t="s">
        <v>1206</v>
      </c>
      <c r="N8" s="467" t="s">
        <v>602</v>
      </c>
      <c r="O8" s="469" t="s">
        <v>586</v>
      </c>
      <c r="Q8" s="281"/>
      <c r="R8" s="281"/>
      <c r="S8" s="281"/>
      <c r="T8" s="281"/>
      <c r="U8" s="281"/>
    </row>
    <row r="9" spans="1:21" ht="18.5" x14ac:dyDescent="0.45">
      <c r="A9" s="5" t="s">
        <v>1212</v>
      </c>
      <c r="D9" s="423"/>
      <c r="E9" s="98" t="s">
        <v>171</v>
      </c>
      <c r="F9" s="99"/>
      <c r="G9" s="181">
        <f>SUM(G10:G12)</f>
        <v>0</v>
      </c>
      <c r="H9" s="101" t="s">
        <v>42</v>
      </c>
      <c r="I9" s="182" t="e">
        <f>N9/G9</f>
        <v>#DIV/0!</v>
      </c>
      <c r="J9" s="103"/>
      <c r="K9" s="103"/>
      <c r="L9" s="103"/>
      <c r="M9" s="103"/>
      <c r="N9" s="182">
        <f>SUM(N10:N21)</f>
        <v>0</v>
      </c>
      <c r="O9" s="434">
        <f>IFERROR(N9/$G$6,0)</f>
        <v>0</v>
      </c>
      <c r="Q9" s="282" t="str">
        <f>IF(SUM(M10:M21)=SUM(N10:N21),"SUBTOTALS MATCH LINE ITEM TOTALS","ERROR- CHECK SUMS")</f>
        <v>SUBTOTALS MATCH LINE ITEM TOTALS</v>
      </c>
      <c r="R9" s="281"/>
      <c r="S9" s="295">
        <f>SUM(M10:M21)</f>
        <v>0</v>
      </c>
      <c r="T9" s="295">
        <f>SUM(N10:N21)</f>
        <v>0</v>
      </c>
      <c r="U9" s="283">
        <f>S9-T9</f>
        <v>0</v>
      </c>
    </row>
    <row r="10" spans="1:21" ht="15.5" x14ac:dyDescent="0.3">
      <c r="A10" s="5" t="s">
        <v>1212</v>
      </c>
      <c r="D10" s="424" t="s">
        <v>801</v>
      </c>
      <c r="E10" s="69" t="s">
        <v>171</v>
      </c>
      <c r="F10" s="56"/>
      <c r="G10" s="57"/>
      <c r="H10" s="58"/>
      <c r="I10" s="59"/>
      <c r="J10" s="60"/>
      <c r="K10" s="303"/>
      <c r="L10" s="60"/>
      <c r="M10" s="60"/>
      <c r="N10" s="59">
        <f>SUM(M10:M13)</f>
        <v>0</v>
      </c>
      <c r="O10" s="435">
        <f>IFERROR(N10/$G$6,0)</f>
        <v>0</v>
      </c>
      <c r="Q10" s="282" t="str">
        <f>IF(SUM(M10:M21)=N9,"DIVISION TOTAL MATCHES LINE ITEM TOTALS","ERROR- CHECK SUMS")</f>
        <v>DIVISION TOTAL MATCHES LINE ITEM TOTALS</v>
      </c>
      <c r="R10" s="281"/>
      <c r="S10" s="295">
        <f>SUM(M10:M21)</f>
        <v>0</v>
      </c>
      <c r="T10" s="297">
        <f>N9</f>
        <v>0</v>
      </c>
      <c r="U10" s="283">
        <f>S10-T10</f>
        <v>0</v>
      </c>
    </row>
    <row r="11" spans="1:21" x14ac:dyDescent="0.3">
      <c r="A11" s="5" t="s">
        <v>1212</v>
      </c>
      <c r="D11" s="425" t="s">
        <v>1286</v>
      </c>
      <c r="E11" s="36" t="s">
        <v>609</v>
      </c>
      <c r="F11" s="10"/>
      <c r="G11" s="61">
        <f>'Project Info Input'!C22</f>
        <v>0</v>
      </c>
      <c r="H11" s="12" t="s">
        <v>606</v>
      </c>
      <c r="I11" s="13">
        <f>'General Conditions'!H129</f>
        <v>0</v>
      </c>
      <c r="J11" s="16">
        <f>G11*I11</f>
        <v>0</v>
      </c>
      <c r="K11" s="304"/>
      <c r="L11" s="298"/>
      <c r="M11" s="298">
        <f>IF(K11="x","Included in Sub Bid",J11)</f>
        <v>0</v>
      </c>
      <c r="N11" s="16"/>
      <c r="O11" s="104"/>
      <c r="Q11" s="282" t="str">
        <f>IF(N9=SUM(N10:N21),"DIVISION TOTAL MATCHES SUBTOTALS","ERROR- SUBTOTALS")</f>
        <v>DIVISION TOTAL MATCHES SUBTOTALS</v>
      </c>
      <c r="R11" s="281"/>
      <c r="S11" s="295">
        <f>N9</f>
        <v>0</v>
      </c>
      <c r="T11" s="295">
        <f>SUM(N10:N21)</f>
        <v>0</v>
      </c>
      <c r="U11" s="283">
        <f>S11-T11</f>
        <v>0</v>
      </c>
    </row>
    <row r="12" spans="1:21" x14ac:dyDescent="0.3">
      <c r="A12" s="5" t="s">
        <v>1212</v>
      </c>
      <c r="D12" s="425" t="s">
        <v>1286</v>
      </c>
      <c r="E12" s="36" t="s">
        <v>610</v>
      </c>
      <c r="F12" s="10"/>
      <c r="G12" s="61">
        <f>'Project Info Input'!C23</f>
        <v>0</v>
      </c>
      <c r="H12" s="12" t="s">
        <v>606</v>
      </c>
      <c r="I12" s="13">
        <f>'General Conditions'!H129</f>
        <v>0</v>
      </c>
      <c r="J12" s="16">
        <f>G12*I12</f>
        <v>0</v>
      </c>
      <c r="K12" s="304"/>
      <c r="L12" s="298"/>
      <c r="M12" s="298">
        <f t="shared" ref="M12:M13" si="0">IF(K12="x","Included in Sub Bid",J12)</f>
        <v>0</v>
      </c>
      <c r="N12" s="16"/>
      <c r="O12" s="104"/>
      <c r="Q12" s="281"/>
      <c r="R12" s="281"/>
      <c r="S12" s="281"/>
      <c r="T12" s="281"/>
      <c r="U12" s="281"/>
    </row>
    <row r="13" spans="1:21" x14ac:dyDescent="0.3">
      <c r="A13" s="5" t="s">
        <v>1212</v>
      </c>
      <c r="D13" s="425" t="s">
        <v>1286</v>
      </c>
      <c r="E13" s="36" t="s">
        <v>611</v>
      </c>
      <c r="F13" s="10"/>
      <c r="G13" s="61">
        <f>'Project Info Input'!C24</f>
        <v>0.5</v>
      </c>
      <c r="H13" s="12" t="s">
        <v>606</v>
      </c>
      <c r="I13" s="13">
        <f>I11/2</f>
        <v>0</v>
      </c>
      <c r="J13" s="16">
        <f>G13*I13</f>
        <v>0</v>
      </c>
      <c r="K13" s="304"/>
      <c r="L13" s="298"/>
      <c r="M13" s="298">
        <f t="shared" si="0"/>
        <v>0</v>
      </c>
      <c r="N13" s="16"/>
      <c r="O13" s="104"/>
      <c r="Q13" s="281"/>
      <c r="R13" s="281"/>
      <c r="S13" s="281"/>
      <c r="T13" s="281"/>
      <c r="U13" s="281"/>
    </row>
    <row r="14" spans="1:21" ht="15.5" x14ac:dyDescent="0.3">
      <c r="A14" s="5" t="s">
        <v>1212</v>
      </c>
      <c r="D14" s="424" t="s">
        <v>801</v>
      </c>
      <c r="E14" s="69" t="s">
        <v>623</v>
      </c>
      <c r="F14" s="56"/>
      <c r="G14" s="57"/>
      <c r="H14" s="58"/>
      <c r="I14" s="59"/>
      <c r="J14" s="60"/>
      <c r="K14" s="303"/>
      <c r="L14" s="60"/>
      <c r="M14" s="60"/>
      <c r="N14" s="59">
        <f>SUM(M15:M16)</f>
        <v>0</v>
      </c>
      <c r="O14" s="435">
        <f>IFERROR(N14/$G$6,0)</f>
        <v>0</v>
      </c>
      <c r="Q14" s="281"/>
      <c r="R14" s="281"/>
      <c r="S14" s="281"/>
      <c r="T14" s="281"/>
      <c r="U14" s="281"/>
    </row>
    <row r="15" spans="1:21" x14ac:dyDescent="0.3">
      <c r="A15" s="5" t="s">
        <v>1212</v>
      </c>
      <c r="D15" s="425" t="s">
        <v>1286</v>
      </c>
      <c r="E15" s="36" t="s">
        <v>10</v>
      </c>
      <c r="F15" s="10"/>
      <c r="G15" s="21">
        <v>1</v>
      </c>
      <c r="H15" s="12" t="s">
        <v>0</v>
      </c>
      <c r="I15" s="13"/>
      <c r="J15" s="16">
        <f>G15*I15</f>
        <v>0</v>
      </c>
      <c r="K15" s="304"/>
      <c r="L15" s="298"/>
      <c r="M15" s="298">
        <f>IF(K15="x","Included in Sub Bid",J15)</f>
        <v>0</v>
      </c>
      <c r="N15" s="16"/>
      <c r="O15" s="104"/>
      <c r="Q15" s="281"/>
      <c r="R15" s="281"/>
      <c r="S15" s="281"/>
      <c r="T15" s="281"/>
      <c r="U15" s="281"/>
    </row>
    <row r="16" spans="1:21" x14ac:dyDescent="0.3">
      <c r="A16" s="5" t="s">
        <v>1212</v>
      </c>
      <c r="D16" s="425" t="s">
        <v>1286</v>
      </c>
      <c r="E16" s="36" t="s">
        <v>1285</v>
      </c>
      <c r="F16" s="10"/>
      <c r="G16" s="21"/>
      <c r="H16" s="12" t="s">
        <v>606</v>
      </c>
      <c r="I16" s="13">
        <v>600</v>
      </c>
      <c r="J16" s="16">
        <f>G16*I16</f>
        <v>0</v>
      </c>
      <c r="K16" s="304"/>
      <c r="L16" s="298"/>
      <c r="M16" s="298">
        <f>IF(K16="x","Included in Sub Bid",J16)</f>
        <v>0</v>
      </c>
      <c r="N16" s="16"/>
      <c r="O16" s="104"/>
      <c r="Q16" s="281"/>
      <c r="R16" s="281"/>
      <c r="S16" s="281"/>
      <c r="T16" s="281"/>
      <c r="U16" s="281"/>
    </row>
    <row r="17" spans="1:21" ht="15.5" x14ac:dyDescent="0.3">
      <c r="A17" s="5" t="s">
        <v>1212</v>
      </c>
      <c r="D17" s="424" t="s">
        <v>801</v>
      </c>
      <c r="E17" s="69" t="s">
        <v>624</v>
      </c>
      <c r="F17" s="56"/>
      <c r="G17" s="57"/>
      <c r="H17" s="58"/>
      <c r="I17" s="59"/>
      <c r="J17" s="60"/>
      <c r="K17" s="303"/>
      <c r="L17" s="60"/>
      <c r="M17" s="60"/>
      <c r="N17" s="59">
        <f>SUM(M18:M21)</f>
        <v>0</v>
      </c>
      <c r="O17" s="435">
        <f>IFERROR(N17/$G$6,0)</f>
        <v>0</v>
      </c>
      <c r="Q17" s="281"/>
      <c r="R17" s="281"/>
      <c r="S17" s="281"/>
      <c r="T17" s="281"/>
      <c r="U17" s="281"/>
    </row>
    <row r="18" spans="1:21" x14ac:dyDescent="0.3">
      <c r="A18" s="5" t="s">
        <v>1212</v>
      </c>
      <c r="D18" s="425" t="s">
        <v>1286</v>
      </c>
      <c r="E18" s="36" t="s">
        <v>265</v>
      </c>
      <c r="F18" s="10"/>
      <c r="G18" s="21">
        <f>'Project Info Input'!C34-Estimate!G19</f>
        <v>0</v>
      </c>
      <c r="H18" s="12" t="s">
        <v>1</v>
      </c>
      <c r="I18" s="13">
        <v>0.05</v>
      </c>
      <c r="J18" s="16">
        <f>G18*I18</f>
        <v>0</v>
      </c>
      <c r="K18" s="304"/>
      <c r="L18" s="298"/>
      <c r="M18" s="298">
        <f t="shared" ref="M18:M19" si="1">IF(K18="x","Included in Sub Bid",J18)</f>
        <v>0</v>
      </c>
      <c r="N18" s="16"/>
      <c r="O18" s="104"/>
      <c r="Q18" s="281"/>
      <c r="R18" s="281"/>
      <c r="S18" s="281"/>
      <c r="T18" s="281"/>
      <c r="U18" s="281"/>
    </row>
    <row r="19" spans="1:21" x14ac:dyDescent="0.3">
      <c r="A19" s="5" t="s">
        <v>1212</v>
      </c>
      <c r="D19" s="425" t="s">
        <v>1286</v>
      </c>
      <c r="E19" s="36" t="s">
        <v>386</v>
      </c>
      <c r="F19" s="10"/>
      <c r="G19" s="21">
        <f>'Project Info Input'!C38</f>
        <v>0</v>
      </c>
      <c r="H19" s="12" t="s">
        <v>1</v>
      </c>
      <c r="I19" s="13">
        <v>0.35</v>
      </c>
      <c r="J19" s="16">
        <f>G19*I19</f>
        <v>0</v>
      </c>
      <c r="K19" s="304"/>
      <c r="L19" s="298"/>
      <c r="M19" s="298">
        <f t="shared" si="1"/>
        <v>0</v>
      </c>
      <c r="N19" s="16"/>
      <c r="O19" s="104"/>
      <c r="Q19" s="281"/>
      <c r="R19" s="281"/>
      <c r="S19" s="281"/>
      <c r="T19" s="281"/>
      <c r="U19" s="281"/>
    </row>
    <row r="20" spans="1:21" x14ac:dyDescent="0.3">
      <c r="A20" s="5" t="s">
        <v>1212</v>
      </c>
      <c r="D20" s="425"/>
      <c r="E20" s="36"/>
      <c r="F20" s="10"/>
      <c r="G20" s="21"/>
      <c r="H20" s="12"/>
      <c r="I20" s="13"/>
      <c r="J20" s="16"/>
      <c r="K20" s="304"/>
      <c r="L20" s="298"/>
      <c r="M20" s="298"/>
      <c r="N20" s="16"/>
      <c r="O20" s="104"/>
      <c r="Q20" s="281"/>
      <c r="R20" s="281"/>
      <c r="S20" s="281"/>
      <c r="T20" s="281"/>
      <c r="U20" s="281"/>
    </row>
    <row r="21" spans="1:21" ht="13.5" thickBot="1" x14ac:dyDescent="0.35">
      <c r="A21" s="5" t="s">
        <v>1212</v>
      </c>
      <c r="D21" s="425"/>
      <c r="E21" s="36"/>
      <c r="F21" s="10"/>
      <c r="G21" s="21"/>
      <c r="H21" s="12"/>
      <c r="I21" s="13"/>
      <c r="J21" s="16"/>
      <c r="K21" s="436"/>
      <c r="L21" s="298"/>
      <c r="M21" s="298"/>
      <c r="N21" s="16"/>
      <c r="O21" s="104"/>
      <c r="Q21" s="281"/>
      <c r="R21" s="281"/>
      <c r="S21" s="281"/>
      <c r="T21" s="281"/>
      <c r="U21" s="281"/>
    </row>
    <row r="22" spans="1:21" ht="18.5" x14ac:dyDescent="0.45">
      <c r="A22" s="347" t="str">
        <f>IF(J22=0,"Exclude","x")</f>
        <v>Exclude</v>
      </c>
      <c r="D22" s="423"/>
      <c r="E22" s="98" t="s">
        <v>51</v>
      </c>
      <c r="F22" s="99"/>
      <c r="G22" s="112"/>
      <c r="H22" s="101"/>
      <c r="I22" s="113"/>
      <c r="J22" s="103">
        <f>SUBTOTAL(9,J23:J327)</f>
        <v>0</v>
      </c>
      <c r="K22" s="437">
        <f>IFERROR(J22/$G$6,0)</f>
        <v>0</v>
      </c>
      <c r="L22" s="310"/>
      <c r="M22" s="103"/>
      <c r="N22" s="182">
        <f>SUM(N23:N327)</f>
        <v>0</v>
      </c>
      <c r="O22" s="434">
        <f>IFERROR(N22/$G$6,0)</f>
        <v>0</v>
      </c>
      <c r="Q22" s="282" t="str">
        <f>IF(SUM(M23:M327)=SUM(N23:N327),"SUBTOTALS MATCH LINE ITEM TOTALS","ERROR- CHECK SUMS")</f>
        <v>SUBTOTALS MATCH LINE ITEM TOTALS</v>
      </c>
      <c r="R22" s="281"/>
      <c r="S22" s="295">
        <f>SUM(M23:M327)</f>
        <v>0</v>
      </c>
      <c r="T22" s="283">
        <f>SUM(N23:N327)</f>
        <v>0</v>
      </c>
      <c r="U22" s="283">
        <f>S22-T22</f>
        <v>0</v>
      </c>
    </row>
    <row r="23" spans="1:21" s="55" customFormat="1" ht="17.25" customHeight="1" x14ac:dyDescent="0.3">
      <c r="A23" s="347" t="str">
        <f>IF(J23=0,"Exclude","x")</f>
        <v>Exclude</v>
      </c>
      <c r="D23" s="424" t="s">
        <v>823</v>
      </c>
      <c r="E23" s="69" t="s">
        <v>625</v>
      </c>
      <c r="F23" s="56"/>
      <c r="G23" s="57"/>
      <c r="H23" s="58"/>
      <c r="I23" s="59"/>
      <c r="J23" s="60">
        <f>SUBTOTAL(9,J24:J38)</f>
        <v>0</v>
      </c>
      <c r="K23" s="59">
        <f>IFERROR(J23/$G$6,0)</f>
        <v>0</v>
      </c>
      <c r="L23" s="309"/>
      <c r="M23" s="60"/>
      <c r="N23" s="59">
        <f>SUM(M24:M38)</f>
        <v>0</v>
      </c>
      <c r="O23" s="435">
        <f>IFERROR(N23/$G$6,0)</f>
        <v>0</v>
      </c>
      <c r="Q23" s="282" t="str">
        <f>IF(SUM(M23:M327)=N22,"DIVISION TOTAL MATCHES LINE ITEM TOTALS","ERROR- CHECK SUMS")</f>
        <v>DIVISION TOTAL MATCHES LINE ITEM TOTALS</v>
      </c>
      <c r="R23" s="284"/>
      <c r="S23" s="296">
        <f>SUM(M23:M327)</f>
        <v>0</v>
      </c>
      <c r="T23" s="285">
        <f>N22</f>
        <v>0</v>
      </c>
      <c r="U23" s="283">
        <f>S23-T23</f>
        <v>0</v>
      </c>
    </row>
    <row r="24" spans="1:21" x14ac:dyDescent="0.3">
      <c r="A24" s="347" t="str">
        <f t="shared" ref="A24:A38" si="2">A23</f>
        <v>Exclude</v>
      </c>
      <c r="D24" s="426" t="s">
        <v>1287</v>
      </c>
      <c r="E24" s="39" t="s">
        <v>1203</v>
      </c>
      <c r="F24" s="24"/>
      <c r="G24" s="292"/>
      <c r="H24" s="25"/>
      <c r="I24" s="293"/>
      <c r="J24" s="293"/>
      <c r="K24" s="304"/>
      <c r="L24" s="300">
        <v>0</v>
      </c>
      <c r="M24" s="301">
        <f>L24</f>
        <v>0</v>
      </c>
      <c r="N24" s="293"/>
      <c r="O24" s="294"/>
      <c r="Q24" s="282"/>
      <c r="R24" s="281"/>
      <c r="S24" s="283"/>
      <c r="T24" s="283"/>
      <c r="U24" s="283"/>
    </row>
    <row r="25" spans="1:21" x14ac:dyDescent="0.3">
      <c r="A25" s="347" t="str">
        <f t="shared" si="2"/>
        <v>Exclude</v>
      </c>
      <c r="D25" s="425" t="s">
        <v>1287</v>
      </c>
      <c r="E25" s="36" t="s">
        <v>183</v>
      </c>
      <c r="F25" s="10"/>
      <c r="G25" s="14"/>
      <c r="H25" s="12" t="s">
        <v>3</v>
      </c>
      <c r="I25" s="16"/>
      <c r="J25" s="16">
        <f>G25*I25</f>
        <v>0</v>
      </c>
      <c r="K25" s="304"/>
      <c r="L25" s="298"/>
      <c r="M25" s="298">
        <f t="shared" ref="M25:M34" si="3">IF(K25="x","Included in Sub Bid",J25)</f>
        <v>0</v>
      </c>
      <c r="N25" s="16"/>
      <c r="O25" s="104"/>
      <c r="Q25" s="282" t="str">
        <f>IF(N22=SUM(N23:N327),"DIVISION TOTAL MATCHES SUBTOTALS","ERROR- SUBTOTALS")</f>
        <v>DIVISION TOTAL MATCHES SUBTOTALS</v>
      </c>
      <c r="R25" s="281"/>
      <c r="S25" s="296">
        <f>N22</f>
        <v>0</v>
      </c>
      <c r="T25" s="283">
        <f>SUM(N23:N327)</f>
        <v>0</v>
      </c>
      <c r="U25" s="283">
        <f>S25-T25</f>
        <v>0</v>
      </c>
    </row>
    <row r="26" spans="1:21" x14ac:dyDescent="0.3">
      <c r="A26" s="347" t="str">
        <f t="shared" si="2"/>
        <v>Exclude</v>
      </c>
      <c r="D26" s="425" t="s">
        <v>1287</v>
      </c>
      <c r="E26" s="36" t="s">
        <v>184</v>
      </c>
      <c r="F26" s="10"/>
      <c r="G26" s="14"/>
      <c r="H26" s="12" t="s">
        <v>2</v>
      </c>
      <c r="I26" s="16">
        <v>3500</v>
      </c>
      <c r="J26" s="16">
        <f t="shared" ref="J26:J30" si="4">G26*I26</f>
        <v>0</v>
      </c>
      <c r="K26" s="304"/>
      <c r="L26" s="298"/>
      <c r="M26" s="298">
        <f t="shared" si="3"/>
        <v>0</v>
      </c>
      <c r="N26" s="16"/>
      <c r="O26" s="104"/>
      <c r="Q26" s="281"/>
      <c r="R26" s="281"/>
      <c r="S26" s="281"/>
      <c r="T26" s="281"/>
      <c r="U26" s="281"/>
    </row>
    <row r="27" spans="1:21" x14ac:dyDescent="0.3">
      <c r="A27" s="347" t="str">
        <f t="shared" si="2"/>
        <v>Exclude</v>
      </c>
      <c r="D27" s="425" t="s">
        <v>1287</v>
      </c>
      <c r="E27" s="36" t="s">
        <v>111</v>
      </c>
      <c r="F27" s="10"/>
      <c r="G27" s="14"/>
      <c r="H27" s="12" t="s">
        <v>1</v>
      </c>
      <c r="I27" s="16">
        <v>48</v>
      </c>
      <c r="J27" s="16">
        <f t="shared" si="4"/>
        <v>0</v>
      </c>
      <c r="K27" s="304"/>
      <c r="L27" s="298"/>
      <c r="M27" s="298">
        <f t="shared" si="3"/>
        <v>0</v>
      </c>
      <c r="N27" s="16"/>
      <c r="O27" s="104"/>
      <c r="Q27" s="281"/>
      <c r="R27" s="281"/>
      <c r="S27" s="281"/>
      <c r="T27" s="281"/>
      <c r="U27" s="281"/>
    </row>
    <row r="28" spans="1:21" x14ac:dyDescent="0.3">
      <c r="A28" s="347" t="str">
        <f t="shared" si="2"/>
        <v>Exclude</v>
      </c>
      <c r="D28" s="425" t="s">
        <v>1287</v>
      </c>
      <c r="E28" s="36" t="s">
        <v>185</v>
      </c>
      <c r="F28" s="10"/>
      <c r="G28" s="14"/>
      <c r="H28" s="12" t="s">
        <v>1</v>
      </c>
      <c r="I28" s="16">
        <v>400</v>
      </c>
      <c r="J28" s="16">
        <f t="shared" si="4"/>
        <v>0</v>
      </c>
      <c r="K28" s="304"/>
      <c r="L28" s="298"/>
      <c r="M28" s="298">
        <f t="shared" si="3"/>
        <v>0</v>
      </c>
      <c r="N28" s="16"/>
      <c r="O28" s="104"/>
      <c r="Q28" s="281"/>
      <c r="R28" s="281"/>
      <c r="S28" s="281"/>
      <c r="T28" s="281"/>
      <c r="U28" s="281"/>
    </row>
    <row r="29" spans="1:21" x14ac:dyDescent="0.3">
      <c r="A29" s="347" t="str">
        <f t="shared" si="2"/>
        <v>Exclude</v>
      </c>
      <c r="D29" s="425" t="s">
        <v>1287</v>
      </c>
      <c r="E29" s="36" t="s">
        <v>99</v>
      </c>
      <c r="F29" s="10"/>
      <c r="G29" s="14"/>
      <c r="H29" s="12" t="s">
        <v>1</v>
      </c>
      <c r="I29" s="16">
        <v>550</v>
      </c>
      <c r="J29" s="16">
        <f t="shared" si="4"/>
        <v>0</v>
      </c>
      <c r="K29" s="304"/>
      <c r="L29" s="298"/>
      <c r="M29" s="298">
        <f t="shared" si="3"/>
        <v>0</v>
      </c>
      <c r="N29" s="16"/>
      <c r="O29" s="104"/>
      <c r="Q29" s="281"/>
      <c r="R29" s="281"/>
      <c r="S29" s="281"/>
      <c r="T29" s="281"/>
      <c r="U29" s="281"/>
    </row>
    <row r="30" spans="1:21" x14ac:dyDescent="0.3">
      <c r="A30" s="347" t="str">
        <f t="shared" si="2"/>
        <v>Exclude</v>
      </c>
      <c r="D30" s="425" t="s">
        <v>1287</v>
      </c>
      <c r="E30" s="36" t="s">
        <v>186</v>
      </c>
      <c r="F30" s="10"/>
      <c r="G30" s="14"/>
      <c r="H30" s="12" t="s">
        <v>2</v>
      </c>
      <c r="I30" s="16"/>
      <c r="J30" s="16">
        <f t="shared" si="4"/>
        <v>0</v>
      </c>
      <c r="K30" s="304"/>
      <c r="L30" s="298"/>
      <c r="M30" s="298">
        <f t="shared" si="3"/>
        <v>0</v>
      </c>
      <c r="N30" s="16"/>
      <c r="O30" s="104"/>
      <c r="Q30" s="281"/>
      <c r="R30" s="281"/>
      <c r="S30" s="281"/>
      <c r="T30" s="281"/>
      <c r="U30" s="281"/>
    </row>
    <row r="31" spans="1:21" x14ac:dyDescent="0.3">
      <c r="A31" s="347" t="str">
        <f t="shared" si="2"/>
        <v>Exclude</v>
      </c>
      <c r="D31" s="425" t="s">
        <v>1287</v>
      </c>
      <c r="E31" s="36" t="s">
        <v>195</v>
      </c>
      <c r="F31" s="10"/>
      <c r="G31" s="14"/>
      <c r="H31" s="12" t="s">
        <v>1</v>
      </c>
      <c r="I31" s="16"/>
      <c r="J31" s="16">
        <f t="shared" ref="J31:J34" si="5">G31*I31</f>
        <v>0</v>
      </c>
      <c r="K31" s="304"/>
      <c r="L31" s="298"/>
      <c r="M31" s="298">
        <f t="shared" si="3"/>
        <v>0</v>
      </c>
      <c r="N31" s="16"/>
      <c r="O31" s="104"/>
      <c r="Q31" s="281"/>
      <c r="R31" s="281"/>
      <c r="S31" s="281"/>
      <c r="T31" s="281"/>
      <c r="U31" s="281"/>
    </row>
    <row r="32" spans="1:21" x14ac:dyDescent="0.3">
      <c r="A32" s="347" t="str">
        <f t="shared" si="2"/>
        <v>Exclude</v>
      </c>
      <c r="D32" s="425" t="s">
        <v>1287</v>
      </c>
      <c r="E32" s="36" t="s">
        <v>737</v>
      </c>
      <c r="F32" s="10"/>
      <c r="G32" s="14"/>
      <c r="H32" s="12" t="s">
        <v>2</v>
      </c>
      <c r="I32" s="16">
        <v>3500</v>
      </c>
      <c r="J32" s="16">
        <f t="shared" si="5"/>
        <v>0</v>
      </c>
      <c r="K32" s="304"/>
      <c r="L32" s="298"/>
      <c r="M32" s="298">
        <f t="shared" si="3"/>
        <v>0</v>
      </c>
      <c r="N32" s="16"/>
      <c r="O32" s="104"/>
      <c r="Q32" s="281"/>
      <c r="R32" s="281"/>
      <c r="S32" s="281"/>
      <c r="T32" s="281"/>
      <c r="U32" s="281"/>
    </row>
    <row r="33" spans="1:21" x14ac:dyDescent="0.3">
      <c r="A33" s="347" t="str">
        <f t="shared" si="2"/>
        <v>Exclude</v>
      </c>
      <c r="D33" s="425" t="s">
        <v>1287</v>
      </c>
      <c r="E33" s="36" t="s">
        <v>194</v>
      </c>
      <c r="F33" s="10"/>
      <c r="G33" s="15"/>
      <c r="H33" s="12" t="s">
        <v>1</v>
      </c>
      <c r="I33" s="16"/>
      <c r="J33" s="16">
        <f t="shared" si="5"/>
        <v>0</v>
      </c>
      <c r="K33" s="304"/>
      <c r="L33" s="298"/>
      <c r="M33" s="298">
        <f t="shared" si="3"/>
        <v>0</v>
      </c>
      <c r="N33" s="16"/>
      <c r="O33" s="104"/>
      <c r="Q33" s="281"/>
      <c r="R33" s="281"/>
      <c r="S33" s="281"/>
      <c r="T33" s="281"/>
      <c r="U33" s="281"/>
    </row>
    <row r="34" spans="1:21" x14ac:dyDescent="0.3">
      <c r="A34" s="347" t="str">
        <f t="shared" si="2"/>
        <v>Exclude</v>
      </c>
      <c r="D34" s="425" t="s">
        <v>1287</v>
      </c>
      <c r="E34" s="36" t="s">
        <v>28</v>
      </c>
      <c r="F34" s="10"/>
      <c r="G34" s="15"/>
      <c r="H34" s="12" t="s">
        <v>1</v>
      </c>
      <c r="I34" s="16"/>
      <c r="J34" s="16">
        <f t="shared" si="5"/>
        <v>0</v>
      </c>
      <c r="K34" s="304"/>
      <c r="L34" s="298"/>
      <c r="M34" s="298">
        <f t="shared" si="3"/>
        <v>0</v>
      </c>
      <c r="N34" s="16"/>
      <c r="O34" s="104"/>
      <c r="Q34" s="281"/>
      <c r="R34" s="281"/>
      <c r="S34" s="281"/>
      <c r="T34" s="281"/>
      <c r="U34" s="281"/>
    </row>
    <row r="35" spans="1:21" x14ac:dyDescent="0.3">
      <c r="A35" s="347" t="str">
        <f t="shared" si="2"/>
        <v>Exclude</v>
      </c>
      <c r="D35" s="427" t="s">
        <v>1287</v>
      </c>
      <c r="E35" s="199" t="s">
        <v>943</v>
      </c>
      <c r="F35" s="200"/>
      <c r="G35" s="201"/>
      <c r="H35" s="202" t="s">
        <v>0</v>
      </c>
      <c r="I35" s="203"/>
      <c r="J35" s="203"/>
      <c r="K35" s="304"/>
      <c r="L35" s="302"/>
      <c r="M35" s="302">
        <f>IF(K35="x","Included in Sub Bid",G35*I35)</f>
        <v>0</v>
      </c>
      <c r="N35" s="16"/>
      <c r="O35" s="104"/>
      <c r="Q35" s="281"/>
      <c r="R35" s="281"/>
      <c r="S35" s="281"/>
      <c r="T35" s="281"/>
      <c r="U35" s="281"/>
    </row>
    <row r="36" spans="1:21" x14ac:dyDescent="0.3">
      <c r="A36" s="347" t="str">
        <f t="shared" si="2"/>
        <v>Exclude</v>
      </c>
      <c r="D36" s="427" t="s">
        <v>1287</v>
      </c>
      <c r="E36" s="199" t="s">
        <v>944</v>
      </c>
      <c r="F36" s="200"/>
      <c r="G36" s="201"/>
      <c r="H36" s="202" t="s">
        <v>0</v>
      </c>
      <c r="I36" s="203"/>
      <c r="J36" s="203"/>
      <c r="K36" s="304"/>
      <c r="L36" s="302"/>
      <c r="M36" s="302">
        <f>IF(K36="x","Included in Sub Bid",G36*I36)</f>
        <v>0</v>
      </c>
      <c r="N36" s="16"/>
      <c r="O36" s="104"/>
      <c r="Q36" s="281"/>
      <c r="R36" s="281"/>
      <c r="S36" s="281"/>
      <c r="T36" s="281"/>
      <c r="U36" s="281"/>
    </row>
    <row r="37" spans="1:21" x14ac:dyDescent="0.3">
      <c r="A37" s="347" t="str">
        <f t="shared" si="2"/>
        <v>Exclude</v>
      </c>
      <c r="D37" s="425"/>
      <c r="E37" s="11"/>
      <c r="F37" s="10"/>
      <c r="G37" s="14"/>
      <c r="H37" s="12"/>
      <c r="I37" s="16"/>
      <c r="J37" s="16"/>
      <c r="K37" s="304"/>
      <c r="L37" s="298"/>
      <c r="M37" s="298"/>
      <c r="N37" s="16"/>
      <c r="O37" s="104"/>
      <c r="Q37" s="281"/>
      <c r="R37" s="281"/>
      <c r="S37" s="281"/>
      <c r="T37" s="281"/>
      <c r="U37" s="281"/>
    </row>
    <row r="38" spans="1:21" x14ac:dyDescent="0.3">
      <c r="A38" s="347" t="str">
        <f t="shared" si="2"/>
        <v>Exclude</v>
      </c>
      <c r="D38" s="425"/>
      <c r="E38" s="33"/>
      <c r="F38" s="10"/>
      <c r="G38" s="14"/>
      <c r="H38" s="12"/>
      <c r="I38" s="16"/>
      <c r="J38" s="16"/>
      <c r="K38" s="436"/>
      <c r="L38" s="298"/>
      <c r="M38" s="298"/>
      <c r="N38" s="16"/>
      <c r="O38" s="104"/>
      <c r="Q38" s="281"/>
      <c r="R38" s="281"/>
      <c r="S38" s="281"/>
      <c r="T38" s="281"/>
      <c r="U38" s="281"/>
    </row>
    <row r="39" spans="1:21" s="55" customFormat="1" ht="17.25" customHeight="1" x14ac:dyDescent="0.3">
      <c r="A39" s="347" t="str">
        <f>IF(J39=0,"Exclude","x")</f>
        <v>Exclude</v>
      </c>
      <c r="D39" s="424">
        <v>31</v>
      </c>
      <c r="E39" s="69" t="s">
        <v>946</v>
      </c>
      <c r="F39" s="56"/>
      <c r="G39" s="57"/>
      <c r="H39" s="58"/>
      <c r="I39" s="59"/>
      <c r="J39" s="60">
        <f>SUBTOTAL(9,J40:J54)</f>
        <v>0</v>
      </c>
      <c r="K39" s="59">
        <f>IFERROR(J39/$G$6,0)</f>
        <v>0</v>
      </c>
      <c r="L39" s="309"/>
      <c r="M39" s="60"/>
      <c r="N39" s="59">
        <f>SUM(M40:M54)</f>
        <v>0</v>
      </c>
      <c r="O39" s="435">
        <f>IFERROR(N39/$G$6,0)</f>
        <v>0</v>
      </c>
      <c r="Q39" s="282"/>
      <c r="R39" s="284"/>
      <c r="S39" s="284"/>
      <c r="T39" s="284"/>
      <c r="U39" s="284"/>
    </row>
    <row r="40" spans="1:21" x14ac:dyDescent="0.3">
      <c r="A40" s="347" t="str">
        <f t="shared" ref="A40:A102" si="6">A39</f>
        <v>Exclude</v>
      </c>
      <c r="D40" s="426" t="s">
        <v>1291</v>
      </c>
      <c r="E40" s="39" t="s">
        <v>1203</v>
      </c>
      <c r="F40" s="24"/>
      <c r="G40" s="292"/>
      <c r="H40" s="25"/>
      <c r="I40" s="293"/>
      <c r="J40" s="293"/>
      <c r="K40" s="301"/>
      <c r="L40" s="300">
        <v>0</v>
      </c>
      <c r="M40" s="301">
        <f>L40</f>
        <v>0</v>
      </c>
      <c r="N40" s="293"/>
      <c r="O40" s="294"/>
      <c r="Q40" s="282"/>
      <c r="R40" s="281"/>
      <c r="S40" s="283"/>
      <c r="T40" s="283"/>
      <c r="U40" s="283"/>
    </row>
    <row r="41" spans="1:21" x14ac:dyDescent="0.3">
      <c r="A41" s="347" t="str">
        <f t="shared" si="6"/>
        <v>Exclude</v>
      </c>
      <c r="D41" s="425" t="s">
        <v>1291</v>
      </c>
      <c r="E41" s="37" t="s">
        <v>25</v>
      </c>
      <c r="F41" s="10"/>
      <c r="G41" s="18">
        <f>$G$7</f>
        <v>0</v>
      </c>
      <c r="H41" s="17" t="s">
        <v>37</v>
      </c>
      <c r="I41" s="16">
        <v>2500</v>
      </c>
      <c r="J41" s="16">
        <f t="shared" ref="J41" si="7">I41*G41</f>
        <v>0</v>
      </c>
      <c r="K41" s="304"/>
      <c r="L41" s="298"/>
      <c r="M41" s="298">
        <f t="shared" ref="M41:M50" si="8">IF(K41="x","Included in Sub Bid",J41)</f>
        <v>0</v>
      </c>
      <c r="N41" s="16"/>
      <c r="O41" s="104"/>
      <c r="Q41" s="281"/>
      <c r="R41" s="281"/>
      <c r="S41" s="281"/>
      <c r="T41" s="281"/>
      <c r="U41" s="281"/>
    </row>
    <row r="42" spans="1:21" x14ac:dyDescent="0.3">
      <c r="A42" s="347" t="str">
        <f t="shared" si="6"/>
        <v>Exclude</v>
      </c>
      <c r="D42" s="425" t="s">
        <v>1291</v>
      </c>
      <c r="E42" s="37" t="s">
        <v>1005</v>
      </c>
      <c r="F42" s="10"/>
      <c r="G42" s="14"/>
      <c r="H42" s="261" t="s">
        <v>2</v>
      </c>
      <c r="I42" s="260">
        <v>2000</v>
      </c>
      <c r="J42" s="16">
        <f>G42*I42</f>
        <v>0</v>
      </c>
      <c r="K42" s="304"/>
      <c r="L42" s="298"/>
      <c r="M42" s="298">
        <f t="shared" si="8"/>
        <v>0</v>
      </c>
      <c r="N42" s="16"/>
      <c r="O42" s="104"/>
      <c r="Q42" s="282"/>
      <c r="R42" s="281"/>
      <c r="S42" s="281"/>
      <c r="T42" s="281"/>
      <c r="U42" s="281"/>
    </row>
    <row r="43" spans="1:21" x14ac:dyDescent="0.3">
      <c r="A43" s="347" t="str">
        <f t="shared" si="6"/>
        <v>Exclude</v>
      </c>
      <c r="D43" s="425" t="s">
        <v>1291</v>
      </c>
      <c r="E43" s="37" t="s">
        <v>1006</v>
      </c>
      <c r="F43" s="10"/>
      <c r="G43" s="14"/>
      <c r="H43" s="261" t="s">
        <v>3</v>
      </c>
      <c r="I43" s="260">
        <v>2</v>
      </c>
      <c r="J43" s="16">
        <f t="shared" ref="J43:J47" si="9">G43*I43</f>
        <v>0</v>
      </c>
      <c r="K43" s="304"/>
      <c r="L43" s="298"/>
      <c r="M43" s="298">
        <f t="shared" si="8"/>
        <v>0</v>
      </c>
      <c r="N43" s="16"/>
      <c r="O43" s="104"/>
      <c r="Q43" s="281"/>
      <c r="R43" s="281"/>
      <c r="S43" s="281"/>
      <c r="T43" s="281"/>
      <c r="U43" s="281"/>
    </row>
    <row r="44" spans="1:21" x14ac:dyDescent="0.3">
      <c r="A44" s="347" t="str">
        <f t="shared" si="6"/>
        <v>Exclude</v>
      </c>
      <c r="D44" s="425" t="s">
        <v>1291</v>
      </c>
      <c r="E44" s="37" t="s">
        <v>1007</v>
      </c>
      <c r="F44" s="10"/>
      <c r="G44" s="14"/>
      <c r="H44" s="261" t="s">
        <v>3</v>
      </c>
      <c r="I44" s="260">
        <v>1</v>
      </c>
      <c r="J44" s="16">
        <f t="shared" si="9"/>
        <v>0</v>
      </c>
      <c r="K44" s="304"/>
      <c r="L44" s="298"/>
      <c r="M44" s="298">
        <f t="shared" si="8"/>
        <v>0</v>
      </c>
      <c r="N44" s="16"/>
      <c r="O44" s="104"/>
      <c r="Q44" s="281"/>
      <c r="R44" s="281"/>
      <c r="S44" s="281"/>
      <c r="T44" s="281"/>
      <c r="U44" s="281"/>
    </row>
    <row r="45" spans="1:21" x14ac:dyDescent="0.3">
      <c r="A45" s="347" t="str">
        <f t="shared" si="6"/>
        <v>Exclude</v>
      </c>
      <c r="D45" s="425" t="s">
        <v>1291</v>
      </c>
      <c r="E45" s="37" t="s">
        <v>1008</v>
      </c>
      <c r="F45" s="10"/>
      <c r="G45" s="14"/>
      <c r="H45" s="261" t="s">
        <v>0</v>
      </c>
      <c r="I45" s="260">
        <v>1500</v>
      </c>
      <c r="J45" s="16">
        <f t="shared" si="9"/>
        <v>0</v>
      </c>
      <c r="K45" s="304"/>
      <c r="L45" s="298"/>
      <c r="M45" s="298">
        <f t="shared" si="8"/>
        <v>0</v>
      </c>
      <c r="N45" s="16"/>
      <c r="O45" s="104"/>
      <c r="Q45" s="281"/>
      <c r="R45" s="281"/>
      <c r="S45" s="281"/>
      <c r="T45" s="281"/>
      <c r="U45" s="281"/>
    </row>
    <row r="46" spans="1:21" x14ac:dyDescent="0.3">
      <c r="A46" s="347" t="str">
        <f t="shared" si="6"/>
        <v>Exclude</v>
      </c>
      <c r="D46" s="425" t="s">
        <v>1291</v>
      </c>
      <c r="E46" s="37" t="s">
        <v>1009</v>
      </c>
      <c r="F46" s="10"/>
      <c r="G46" s="14"/>
      <c r="H46" s="261" t="s">
        <v>1014</v>
      </c>
      <c r="I46" s="260">
        <v>250</v>
      </c>
      <c r="J46" s="16">
        <f t="shared" si="9"/>
        <v>0</v>
      </c>
      <c r="K46" s="304"/>
      <c r="L46" s="298"/>
      <c r="M46" s="298">
        <f t="shared" si="8"/>
        <v>0</v>
      </c>
      <c r="N46" s="16"/>
      <c r="O46" s="104"/>
      <c r="Q46" s="281"/>
      <c r="R46" s="281"/>
      <c r="S46" s="281"/>
      <c r="T46" s="281"/>
      <c r="U46" s="281"/>
    </row>
    <row r="47" spans="1:21" x14ac:dyDescent="0.3">
      <c r="A47" s="347" t="str">
        <f t="shared" si="6"/>
        <v>Exclude</v>
      </c>
      <c r="D47" s="425" t="s">
        <v>1291</v>
      </c>
      <c r="E47" s="37" t="s">
        <v>1010</v>
      </c>
      <c r="F47" s="10"/>
      <c r="G47" s="14"/>
      <c r="H47" s="261" t="s">
        <v>1</v>
      </c>
      <c r="I47" s="260">
        <v>1.25</v>
      </c>
      <c r="J47" s="16">
        <f t="shared" si="9"/>
        <v>0</v>
      </c>
      <c r="K47" s="304"/>
      <c r="L47" s="298"/>
      <c r="M47" s="298">
        <f t="shared" si="8"/>
        <v>0</v>
      </c>
      <c r="N47" s="16"/>
      <c r="O47" s="104"/>
      <c r="Q47" s="281"/>
      <c r="R47" s="281"/>
      <c r="S47" s="281"/>
      <c r="T47" s="281"/>
      <c r="U47" s="281"/>
    </row>
    <row r="48" spans="1:21" x14ac:dyDescent="0.3">
      <c r="A48" s="347" t="str">
        <f t="shared" si="6"/>
        <v>Exclude</v>
      </c>
      <c r="D48" s="425" t="s">
        <v>1291</v>
      </c>
      <c r="E48" s="37" t="s">
        <v>1011</v>
      </c>
      <c r="F48" s="10"/>
      <c r="G48" s="14"/>
      <c r="H48" s="261" t="s">
        <v>2</v>
      </c>
      <c r="I48" s="260">
        <v>2500</v>
      </c>
      <c r="J48" s="16">
        <f t="shared" ref="J48:J50" si="10">G48*I48</f>
        <v>0</v>
      </c>
      <c r="K48" s="304"/>
      <c r="L48" s="298"/>
      <c r="M48" s="298">
        <f t="shared" si="8"/>
        <v>0</v>
      </c>
      <c r="N48" s="16"/>
      <c r="O48" s="104"/>
      <c r="Q48" s="281"/>
      <c r="R48" s="281"/>
      <c r="S48" s="281"/>
      <c r="T48" s="281"/>
      <c r="U48" s="281"/>
    </row>
    <row r="49" spans="1:21" x14ac:dyDescent="0.3">
      <c r="A49" s="347" t="str">
        <f t="shared" si="6"/>
        <v>Exclude</v>
      </c>
      <c r="D49" s="425" t="s">
        <v>1291</v>
      </c>
      <c r="E49" s="37" t="s">
        <v>1012</v>
      </c>
      <c r="F49" s="10"/>
      <c r="G49" s="14"/>
      <c r="H49" s="261" t="s">
        <v>2</v>
      </c>
      <c r="I49" s="260">
        <v>250</v>
      </c>
      <c r="J49" s="16">
        <f t="shared" si="10"/>
        <v>0</v>
      </c>
      <c r="K49" s="304"/>
      <c r="L49" s="298"/>
      <c r="M49" s="298">
        <f t="shared" si="8"/>
        <v>0</v>
      </c>
      <c r="N49" s="16"/>
      <c r="O49" s="104"/>
      <c r="Q49" s="281"/>
      <c r="R49" s="281"/>
      <c r="S49" s="281"/>
      <c r="T49" s="281"/>
      <c r="U49" s="281"/>
    </row>
    <row r="50" spans="1:21" x14ac:dyDescent="0.3">
      <c r="A50" s="347" t="str">
        <f t="shared" si="6"/>
        <v>Exclude</v>
      </c>
      <c r="D50" s="425" t="s">
        <v>1291</v>
      </c>
      <c r="E50" s="37" t="s">
        <v>1013</v>
      </c>
      <c r="F50" s="10"/>
      <c r="G50" s="15"/>
      <c r="H50" s="261" t="s">
        <v>1015</v>
      </c>
      <c r="I50" s="260">
        <v>2000</v>
      </c>
      <c r="J50" s="16">
        <f t="shared" si="10"/>
        <v>0</v>
      </c>
      <c r="K50" s="304"/>
      <c r="L50" s="298"/>
      <c r="M50" s="298">
        <f t="shared" si="8"/>
        <v>0</v>
      </c>
      <c r="N50" s="16"/>
      <c r="O50" s="104"/>
      <c r="Q50" s="281"/>
      <c r="R50" s="281"/>
      <c r="S50" s="281"/>
      <c r="T50" s="281"/>
      <c r="U50" s="281"/>
    </row>
    <row r="51" spans="1:21" x14ac:dyDescent="0.3">
      <c r="A51" s="347" t="str">
        <f t="shared" si="6"/>
        <v>Exclude</v>
      </c>
      <c r="D51" s="427" t="s">
        <v>1291</v>
      </c>
      <c r="E51" s="199" t="s">
        <v>943</v>
      </c>
      <c r="F51" s="200"/>
      <c r="G51" s="201"/>
      <c r="H51" s="202" t="s">
        <v>0</v>
      </c>
      <c r="I51" s="203"/>
      <c r="J51" s="203"/>
      <c r="K51" s="304"/>
      <c r="L51" s="302"/>
      <c r="M51" s="302">
        <f>IF(K51="x","Included in Sub Bid",G51*I51)</f>
        <v>0</v>
      </c>
      <c r="N51" s="16"/>
      <c r="O51" s="104"/>
      <c r="Q51" s="281"/>
      <c r="R51" s="281"/>
      <c r="S51" s="281"/>
      <c r="T51" s="281"/>
      <c r="U51" s="281"/>
    </row>
    <row r="52" spans="1:21" x14ac:dyDescent="0.3">
      <c r="A52" s="347" t="str">
        <f t="shared" si="6"/>
        <v>Exclude</v>
      </c>
      <c r="D52" s="427" t="s">
        <v>1291</v>
      </c>
      <c r="E52" s="199" t="s">
        <v>944</v>
      </c>
      <c r="F52" s="200"/>
      <c r="G52" s="201"/>
      <c r="H52" s="202" t="s">
        <v>0</v>
      </c>
      <c r="I52" s="203"/>
      <c r="J52" s="203"/>
      <c r="K52" s="304"/>
      <c r="L52" s="302"/>
      <c r="M52" s="302">
        <f>IF(K52="x","Included in Sub Bid",G52*I52)</f>
        <v>0</v>
      </c>
      <c r="N52" s="16"/>
      <c r="O52" s="104"/>
      <c r="Q52" s="281"/>
      <c r="R52" s="281"/>
      <c r="S52" s="281"/>
      <c r="T52" s="281"/>
      <c r="U52" s="281"/>
    </row>
    <row r="53" spans="1:21" x14ac:dyDescent="0.3">
      <c r="A53" s="347" t="str">
        <f t="shared" si="6"/>
        <v>Exclude</v>
      </c>
      <c r="D53" s="425"/>
      <c r="E53" s="11"/>
      <c r="F53" s="10"/>
      <c r="G53" s="14"/>
      <c r="H53" s="12"/>
      <c r="I53" s="16"/>
      <c r="J53" s="16"/>
      <c r="K53" s="304"/>
      <c r="L53" s="298"/>
      <c r="M53" s="298"/>
      <c r="N53" s="16"/>
      <c r="O53" s="104"/>
      <c r="Q53" s="281"/>
      <c r="R53" s="281"/>
      <c r="S53" s="281"/>
      <c r="T53" s="281"/>
      <c r="U53" s="281"/>
    </row>
    <row r="54" spans="1:21" x14ac:dyDescent="0.3">
      <c r="A54" s="347" t="str">
        <f t="shared" si="6"/>
        <v>Exclude</v>
      </c>
      <c r="D54" s="425"/>
      <c r="E54" s="33"/>
      <c r="F54" s="10"/>
      <c r="G54" s="14"/>
      <c r="H54" s="12"/>
      <c r="I54" s="16"/>
      <c r="J54" s="16"/>
      <c r="K54" s="436"/>
      <c r="L54" s="298"/>
      <c r="M54" s="298"/>
      <c r="N54" s="16"/>
      <c r="O54" s="104"/>
      <c r="Q54" s="281"/>
      <c r="R54" s="281"/>
      <c r="S54" s="281"/>
      <c r="T54" s="281"/>
      <c r="U54" s="281"/>
    </row>
    <row r="55" spans="1:21" s="55" customFormat="1" ht="17.25" customHeight="1" x14ac:dyDescent="0.3">
      <c r="A55" s="347" t="str">
        <f>IF(J55=0,"Exclude","x")</f>
        <v>Exclude</v>
      </c>
      <c r="D55" s="424" t="s">
        <v>822</v>
      </c>
      <c r="E55" s="69" t="s">
        <v>626</v>
      </c>
      <c r="F55" s="56"/>
      <c r="G55" s="57"/>
      <c r="H55" s="58"/>
      <c r="I55" s="59"/>
      <c r="J55" s="60">
        <f>SUBTOTAL(9,J56:J95)</f>
        <v>0</v>
      </c>
      <c r="K55" s="59">
        <f>IFERROR(J55/$G$6,0)</f>
        <v>0</v>
      </c>
      <c r="L55" s="309"/>
      <c r="M55" s="60"/>
      <c r="N55" s="59">
        <f>SUM(M56:M95)</f>
        <v>0</v>
      </c>
      <c r="O55" s="435">
        <f>IFERROR(N55/$G$6,0)</f>
        <v>0</v>
      </c>
      <c r="Q55" s="284"/>
      <c r="R55" s="284"/>
      <c r="S55" s="284"/>
      <c r="T55" s="284"/>
      <c r="U55" s="284"/>
    </row>
    <row r="56" spans="1:21" x14ac:dyDescent="0.3">
      <c r="A56" s="347" t="str">
        <f t="shared" si="6"/>
        <v>Exclude</v>
      </c>
      <c r="D56" s="426" t="s">
        <v>1288</v>
      </c>
      <c r="E56" s="39" t="s">
        <v>1215</v>
      </c>
      <c r="F56" s="24"/>
      <c r="G56" s="292"/>
      <c r="H56" s="25"/>
      <c r="I56" s="293"/>
      <c r="J56" s="293"/>
      <c r="K56" s="301"/>
      <c r="L56" s="300">
        <v>0</v>
      </c>
      <c r="M56" s="301">
        <f>L56</f>
        <v>0</v>
      </c>
      <c r="N56" s="293"/>
      <c r="O56" s="294"/>
      <c r="Q56" s="282"/>
      <c r="R56" s="281"/>
      <c r="S56" s="283"/>
      <c r="T56" s="283"/>
      <c r="U56" s="283"/>
    </row>
    <row r="57" spans="1:21" x14ac:dyDescent="0.3">
      <c r="A57" s="347" t="str">
        <f t="shared" si="6"/>
        <v>Exclude</v>
      </c>
      <c r="D57" s="428" t="s">
        <v>1288</v>
      </c>
      <c r="E57" s="322" t="s">
        <v>1216</v>
      </c>
      <c r="F57" s="323"/>
      <c r="G57" s="324"/>
      <c r="H57" s="325"/>
      <c r="I57" s="326"/>
      <c r="J57" s="326"/>
      <c r="K57" s="327"/>
      <c r="L57" s="328">
        <v>0</v>
      </c>
      <c r="M57" s="327">
        <f>L57</f>
        <v>0</v>
      </c>
      <c r="N57" s="293"/>
      <c r="O57" s="294"/>
      <c r="Q57" s="282"/>
      <c r="R57" s="281"/>
      <c r="S57" s="283"/>
      <c r="T57" s="283"/>
      <c r="U57" s="283"/>
    </row>
    <row r="58" spans="1:21" x14ac:dyDescent="0.3">
      <c r="A58" s="347" t="str">
        <f t="shared" si="6"/>
        <v>Exclude</v>
      </c>
      <c r="D58" s="425" t="s">
        <v>1288</v>
      </c>
      <c r="E58" s="37" t="s">
        <v>574</v>
      </c>
      <c r="F58" s="10"/>
      <c r="G58" s="18"/>
      <c r="H58" s="17" t="s">
        <v>0</v>
      </c>
      <c r="I58" s="16">
        <v>10000</v>
      </c>
      <c r="J58" s="16">
        <f>G58*I58</f>
        <v>0</v>
      </c>
      <c r="K58" s="304"/>
      <c r="L58" s="298"/>
      <c r="M58" s="298">
        <f t="shared" ref="M58:M91" si="11">IF(K58="x","Included in Sub Bid",J58)</f>
        <v>0</v>
      </c>
      <c r="N58" s="16"/>
      <c r="O58" s="104"/>
      <c r="Q58" s="281"/>
      <c r="R58" s="281"/>
      <c r="S58" s="281"/>
      <c r="T58" s="281"/>
      <c r="U58" s="281"/>
    </row>
    <row r="59" spans="1:21" x14ac:dyDescent="0.3">
      <c r="A59" s="347" t="str">
        <f t="shared" si="6"/>
        <v>Exclude</v>
      </c>
      <c r="D59" s="425" t="s">
        <v>1288</v>
      </c>
      <c r="E59" s="37" t="s">
        <v>146</v>
      </c>
      <c r="F59" s="10"/>
      <c r="G59" s="18">
        <f>G7</f>
        <v>0</v>
      </c>
      <c r="H59" s="17" t="s">
        <v>37</v>
      </c>
      <c r="I59" s="16">
        <v>1500</v>
      </c>
      <c r="J59" s="16">
        <f>I59*G59</f>
        <v>0</v>
      </c>
      <c r="K59" s="304"/>
      <c r="L59" s="298"/>
      <c r="M59" s="298">
        <f t="shared" si="11"/>
        <v>0</v>
      </c>
      <c r="N59" s="16"/>
      <c r="O59" s="104"/>
      <c r="Q59" s="281"/>
      <c r="R59" s="281"/>
      <c r="S59" s="281"/>
      <c r="T59" s="281"/>
      <c r="U59" s="281"/>
    </row>
    <row r="60" spans="1:21" x14ac:dyDescent="0.3">
      <c r="A60" s="347" t="str">
        <f t="shared" si="6"/>
        <v>Exclude</v>
      </c>
      <c r="D60" s="425" t="s">
        <v>1288</v>
      </c>
      <c r="E60" s="37" t="s">
        <v>575</v>
      </c>
      <c r="F60" s="10"/>
      <c r="G60" s="18"/>
      <c r="H60" s="17" t="s">
        <v>37</v>
      </c>
      <c r="I60" s="16">
        <v>5000</v>
      </c>
      <c r="J60" s="16">
        <f t="shared" ref="J60:J82" si="12">I60*G60</f>
        <v>0</v>
      </c>
      <c r="K60" s="304"/>
      <c r="L60" s="298"/>
      <c r="M60" s="298">
        <f t="shared" si="11"/>
        <v>0</v>
      </c>
      <c r="N60" s="16"/>
      <c r="O60" s="104"/>
      <c r="Q60" s="281"/>
      <c r="R60" s="281"/>
      <c r="S60" s="281"/>
      <c r="T60" s="281"/>
      <c r="U60" s="281"/>
    </row>
    <row r="61" spans="1:21" x14ac:dyDescent="0.3">
      <c r="A61" s="347" t="str">
        <f t="shared" si="6"/>
        <v>Exclude</v>
      </c>
      <c r="D61" s="425" t="s">
        <v>1288</v>
      </c>
      <c r="E61" s="37" t="s">
        <v>576</v>
      </c>
      <c r="F61" s="10">
        <v>0.5</v>
      </c>
      <c r="G61" s="18">
        <f>G7*43560*F61/27</f>
        <v>0</v>
      </c>
      <c r="H61" s="17" t="s">
        <v>38</v>
      </c>
      <c r="I61" s="16">
        <v>2</v>
      </c>
      <c r="J61" s="16">
        <f t="shared" si="12"/>
        <v>0</v>
      </c>
      <c r="K61" s="304"/>
      <c r="L61" s="298"/>
      <c r="M61" s="298">
        <f t="shared" si="11"/>
        <v>0</v>
      </c>
      <c r="N61" s="16"/>
      <c r="O61" s="104"/>
      <c r="Q61" s="281"/>
      <c r="R61" s="281"/>
      <c r="S61" s="281"/>
      <c r="T61" s="281"/>
      <c r="U61" s="281"/>
    </row>
    <row r="62" spans="1:21" x14ac:dyDescent="0.3">
      <c r="A62" s="347" t="str">
        <f t="shared" si="6"/>
        <v>Exclude</v>
      </c>
      <c r="D62" s="425" t="s">
        <v>1288</v>
      </c>
      <c r="E62" s="37" t="s">
        <v>1031</v>
      </c>
      <c r="F62" s="10"/>
      <c r="G62" s="18"/>
      <c r="H62" s="17" t="s">
        <v>577</v>
      </c>
      <c r="I62" s="16">
        <v>10</v>
      </c>
      <c r="J62" s="16">
        <f t="shared" si="12"/>
        <v>0</v>
      </c>
      <c r="K62" s="304"/>
      <c r="L62" s="298"/>
      <c r="M62" s="298">
        <f t="shared" si="11"/>
        <v>0</v>
      </c>
      <c r="N62" s="16"/>
      <c r="O62" s="104"/>
      <c r="Q62" s="281"/>
      <c r="R62" s="281"/>
      <c r="S62" s="281"/>
      <c r="T62" s="281"/>
      <c r="U62" s="281"/>
    </row>
    <row r="63" spans="1:21" x14ac:dyDescent="0.3">
      <c r="A63" s="347" t="str">
        <f t="shared" si="6"/>
        <v>Exclude</v>
      </c>
      <c r="D63" s="425" t="s">
        <v>1288</v>
      </c>
      <c r="E63" s="37" t="s">
        <v>1040</v>
      </c>
      <c r="F63" s="453">
        <v>10000</v>
      </c>
      <c r="G63" s="18">
        <f>G7*F63</f>
        <v>0</v>
      </c>
      <c r="H63" s="17" t="s">
        <v>38</v>
      </c>
      <c r="I63" s="16">
        <v>2.65</v>
      </c>
      <c r="J63" s="16">
        <f t="shared" si="12"/>
        <v>0</v>
      </c>
      <c r="K63" s="304"/>
      <c r="L63" s="298"/>
      <c r="M63" s="298">
        <f t="shared" si="11"/>
        <v>0</v>
      </c>
      <c r="N63" s="16"/>
      <c r="O63" s="104"/>
      <c r="Q63" s="281"/>
      <c r="R63" s="281"/>
      <c r="S63" s="281"/>
      <c r="T63" s="281"/>
      <c r="U63" s="281"/>
    </row>
    <row r="64" spans="1:21" x14ac:dyDescent="0.3">
      <c r="A64" s="347" t="str">
        <f t="shared" si="6"/>
        <v>Exclude</v>
      </c>
      <c r="D64" s="425" t="s">
        <v>1288</v>
      </c>
      <c r="E64" s="37" t="s">
        <v>1024</v>
      </c>
      <c r="F64" s="10"/>
      <c r="G64" s="18"/>
      <c r="H64" s="17" t="s">
        <v>38</v>
      </c>
      <c r="I64" s="16">
        <v>15</v>
      </c>
      <c r="J64" s="16">
        <f t="shared" si="12"/>
        <v>0</v>
      </c>
      <c r="K64" s="304"/>
      <c r="L64" s="298"/>
      <c r="M64" s="298">
        <f t="shared" si="11"/>
        <v>0</v>
      </c>
      <c r="N64" s="16"/>
      <c r="O64" s="104"/>
      <c r="Q64" s="281"/>
      <c r="R64" s="281"/>
      <c r="S64" s="281"/>
      <c r="T64" s="281"/>
      <c r="U64" s="281"/>
    </row>
    <row r="65" spans="1:21" x14ac:dyDescent="0.3">
      <c r="A65" s="347" t="str">
        <f t="shared" si="6"/>
        <v>Exclude</v>
      </c>
      <c r="D65" s="425" t="s">
        <v>1288</v>
      </c>
      <c r="E65" s="37" t="s">
        <v>1025</v>
      </c>
      <c r="F65" s="10"/>
      <c r="G65" s="18"/>
      <c r="H65" s="17" t="s">
        <v>38</v>
      </c>
      <c r="I65" s="16">
        <v>10</v>
      </c>
      <c r="J65" s="16">
        <f t="shared" si="12"/>
        <v>0</v>
      </c>
      <c r="K65" s="304"/>
      <c r="L65" s="298"/>
      <c r="M65" s="298">
        <f t="shared" si="11"/>
        <v>0</v>
      </c>
      <c r="N65" s="16"/>
      <c r="O65" s="104"/>
      <c r="Q65" s="281"/>
      <c r="R65" s="281"/>
      <c r="S65" s="281"/>
      <c r="T65" s="281"/>
      <c r="U65" s="281"/>
    </row>
    <row r="66" spans="1:21" x14ac:dyDescent="0.3">
      <c r="A66" s="347" t="str">
        <f t="shared" si="6"/>
        <v>Exclude</v>
      </c>
      <c r="D66" s="425" t="s">
        <v>1288</v>
      </c>
      <c r="E66" s="37" t="s">
        <v>75</v>
      </c>
      <c r="F66" s="10"/>
      <c r="G66" s="18">
        <f>G7</f>
        <v>0</v>
      </c>
      <c r="H66" s="17" t="s">
        <v>37</v>
      </c>
      <c r="I66" s="16">
        <v>3500</v>
      </c>
      <c r="J66" s="16">
        <f t="shared" si="12"/>
        <v>0</v>
      </c>
      <c r="K66" s="304"/>
      <c r="L66" s="298"/>
      <c r="M66" s="298">
        <f t="shared" si="11"/>
        <v>0</v>
      </c>
      <c r="N66" s="16"/>
      <c r="O66" s="104"/>
      <c r="Q66" s="281"/>
      <c r="R66" s="281"/>
      <c r="S66" s="281"/>
      <c r="T66" s="281"/>
      <c r="U66" s="281"/>
    </row>
    <row r="67" spans="1:21" x14ac:dyDescent="0.3">
      <c r="A67" s="347" t="str">
        <f t="shared" si="6"/>
        <v>Exclude</v>
      </c>
      <c r="D67" s="425" t="s">
        <v>1288</v>
      </c>
      <c r="E67" s="37" t="s">
        <v>1016</v>
      </c>
      <c r="F67" s="10"/>
      <c r="G67" s="18">
        <f>G6/9</f>
        <v>0</v>
      </c>
      <c r="H67" s="17" t="s">
        <v>578</v>
      </c>
      <c r="I67" s="16">
        <v>1.75</v>
      </c>
      <c r="J67" s="16">
        <f>I67*G67</f>
        <v>0</v>
      </c>
      <c r="K67" s="304"/>
      <c r="L67" s="298"/>
      <c r="M67" s="298">
        <f t="shared" si="11"/>
        <v>0</v>
      </c>
      <c r="N67" s="16"/>
      <c r="O67" s="104"/>
      <c r="Q67" s="281"/>
      <c r="R67" s="281"/>
      <c r="S67" s="281"/>
      <c r="T67" s="281"/>
      <c r="U67" s="281"/>
    </row>
    <row r="68" spans="1:21" x14ac:dyDescent="0.3">
      <c r="A68" s="347" t="str">
        <f t="shared" si="6"/>
        <v>Exclude</v>
      </c>
      <c r="D68" s="425" t="s">
        <v>1288</v>
      </c>
      <c r="E68" s="37" t="s">
        <v>1017</v>
      </c>
      <c r="F68" s="10"/>
      <c r="G68" s="18"/>
      <c r="H68" s="17" t="s">
        <v>578</v>
      </c>
      <c r="I68" s="16">
        <v>1.75</v>
      </c>
      <c r="J68" s="16">
        <f t="shared" ref="J68:J71" si="13">I68*G68</f>
        <v>0</v>
      </c>
      <c r="K68" s="304"/>
      <c r="L68" s="298"/>
      <c r="M68" s="298">
        <f t="shared" si="11"/>
        <v>0</v>
      </c>
      <c r="N68" s="16"/>
      <c r="O68" s="104"/>
      <c r="Q68" s="281"/>
      <c r="R68" s="281"/>
      <c r="S68" s="281"/>
      <c r="T68" s="281"/>
      <c r="U68" s="281"/>
    </row>
    <row r="69" spans="1:21" x14ac:dyDescent="0.3">
      <c r="A69" s="347" t="str">
        <f t="shared" si="6"/>
        <v>Exclude</v>
      </c>
      <c r="D69" s="425" t="s">
        <v>1288</v>
      </c>
      <c r="E69" s="37" t="s">
        <v>1022</v>
      </c>
      <c r="F69" s="10"/>
      <c r="G69" s="18"/>
      <c r="H69" s="17" t="s">
        <v>578</v>
      </c>
      <c r="I69" s="16">
        <v>3</v>
      </c>
      <c r="J69" s="16">
        <f>I69*G69</f>
        <v>0</v>
      </c>
      <c r="K69" s="304"/>
      <c r="L69" s="298"/>
      <c r="M69" s="298">
        <f t="shared" si="11"/>
        <v>0</v>
      </c>
      <c r="N69" s="16"/>
      <c r="O69" s="104"/>
      <c r="Q69" s="281"/>
      <c r="R69" s="281"/>
      <c r="S69" s="281"/>
      <c r="T69" s="281"/>
      <c r="U69" s="281"/>
    </row>
    <row r="70" spans="1:21" x14ac:dyDescent="0.3">
      <c r="A70" s="347" t="str">
        <f t="shared" si="6"/>
        <v>Exclude</v>
      </c>
      <c r="D70" s="425" t="s">
        <v>1288</v>
      </c>
      <c r="E70" s="37" t="s">
        <v>1018</v>
      </c>
      <c r="F70" s="10"/>
      <c r="G70" s="18"/>
      <c r="H70" s="17" t="s">
        <v>578</v>
      </c>
      <c r="I70" s="16">
        <v>1.75</v>
      </c>
      <c r="J70" s="16">
        <f t="shared" si="13"/>
        <v>0</v>
      </c>
      <c r="K70" s="304"/>
      <c r="L70" s="298"/>
      <c r="M70" s="298">
        <f t="shared" si="11"/>
        <v>0</v>
      </c>
      <c r="N70" s="16"/>
      <c r="O70" s="104"/>
      <c r="Q70" s="281"/>
      <c r="R70" s="281"/>
      <c r="S70" s="281"/>
      <c r="T70" s="281"/>
      <c r="U70" s="281"/>
    </row>
    <row r="71" spans="1:21" x14ac:dyDescent="0.3">
      <c r="A71" s="347" t="str">
        <f t="shared" si="6"/>
        <v>Exclude</v>
      </c>
      <c r="D71" s="425" t="s">
        <v>1288</v>
      </c>
      <c r="E71" s="37" t="s">
        <v>1023</v>
      </c>
      <c r="F71" s="10"/>
      <c r="G71" s="18"/>
      <c r="H71" s="17" t="s">
        <v>578</v>
      </c>
      <c r="I71" s="16">
        <v>0.44</v>
      </c>
      <c r="J71" s="16">
        <f t="shared" si="13"/>
        <v>0</v>
      </c>
      <c r="K71" s="304"/>
      <c r="L71" s="298"/>
      <c r="M71" s="298">
        <f t="shared" si="11"/>
        <v>0</v>
      </c>
      <c r="N71" s="16"/>
      <c r="O71" s="104"/>
      <c r="Q71" s="281"/>
      <c r="R71" s="281"/>
      <c r="S71" s="281"/>
      <c r="T71" s="281"/>
      <c r="U71" s="281"/>
    </row>
    <row r="72" spans="1:21" x14ac:dyDescent="0.3">
      <c r="A72" s="347" t="str">
        <f t="shared" si="6"/>
        <v>Exclude</v>
      </c>
      <c r="D72" s="425" t="s">
        <v>1288</v>
      </c>
      <c r="E72" s="37" t="s">
        <v>49</v>
      </c>
      <c r="F72" s="10"/>
      <c r="G72" s="18"/>
      <c r="H72" s="17" t="s">
        <v>38</v>
      </c>
      <c r="I72" s="16">
        <v>2.75</v>
      </c>
      <c r="J72" s="16">
        <f t="shared" si="12"/>
        <v>0</v>
      </c>
      <c r="K72" s="304"/>
      <c r="L72" s="298"/>
      <c r="M72" s="298">
        <f t="shared" si="11"/>
        <v>0</v>
      </c>
      <c r="N72" s="16"/>
      <c r="O72" s="104"/>
      <c r="Q72" s="281"/>
      <c r="R72" s="281"/>
      <c r="S72" s="281"/>
      <c r="T72" s="281"/>
      <c r="U72" s="281"/>
    </row>
    <row r="73" spans="1:21" x14ac:dyDescent="0.3">
      <c r="A73" s="347" t="str">
        <f t="shared" si="6"/>
        <v>Exclude</v>
      </c>
      <c r="D73" s="425" t="s">
        <v>1288</v>
      </c>
      <c r="E73" s="38" t="s">
        <v>266</v>
      </c>
      <c r="F73" s="10"/>
      <c r="G73" s="18"/>
      <c r="H73" s="19" t="s">
        <v>38</v>
      </c>
      <c r="I73" s="16"/>
      <c r="J73" s="16">
        <f t="shared" si="12"/>
        <v>0</v>
      </c>
      <c r="K73" s="304"/>
      <c r="L73" s="298"/>
      <c r="M73" s="298">
        <f t="shared" si="11"/>
        <v>0</v>
      </c>
      <c r="N73" s="16"/>
      <c r="O73" s="104"/>
      <c r="Q73" s="281"/>
      <c r="R73" s="281"/>
      <c r="S73" s="281"/>
      <c r="T73" s="281"/>
      <c r="U73" s="281"/>
    </row>
    <row r="74" spans="1:21" x14ac:dyDescent="0.3">
      <c r="A74" s="347" t="str">
        <f t="shared" si="6"/>
        <v>Exclude</v>
      </c>
      <c r="D74" s="425" t="s">
        <v>1288</v>
      </c>
      <c r="E74" s="38" t="s">
        <v>170</v>
      </c>
      <c r="F74" s="10"/>
      <c r="G74" s="18"/>
      <c r="H74" s="19" t="s">
        <v>38</v>
      </c>
      <c r="I74" s="16"/>
      <c r="J74" s="16">
        <f>I74*G74</f>
        <v>0</v>
      </c>
      <c r="K74" s="304"/>
      <c r="L74" s="298"/>
      <c r="M74" s="298">
        <f t="shared" si="11"/>
        <v>0</v>
      </c>
      <c r="N74" s="16"/>
      <c r="O74" s="104"/>
      <c r="Q74" s="281"/>
      <c r="R74" s="281"/>
      <c r="S74" s="281"/>
      <c r="T74" s="281"/>
      <c r="U74" s="281"/>
    </row>
    <row r="75" spans="1:21" x14ac:dyDescent="0.3">
      <c r="A75" s="347" t="str">
        <f t="shared" si="6"/>
        <v>Exclude</v>
      </c>
      <c r="D75" s="429" t="s">
        <v>1288</v>
      </c>
      <c r="E75" s="336" t="s">
        <v>1028</v>
      </c>
      <c r="F75" s="330">
        <v>4</v>
      </c>
      <c r="G75" s="331">
        <f>G6*1.03/9*F75*110/2000</f>
        <v>0</v>
      </c>
      <c r="H75" s="337" t="s">
        <v>20</v>
      </c>
      <c r="I75" s="333">
        <v>32</v>
      </c>
      <c r="J75" s="333">
        <f t="shared" si="12"/>
        <v>0</v>
      </c>
      <c r="K75" s="334"/>
      <c r="L75" s="335"/>
      <c r="M75" s="335">
        <f t="shared" si="11"/>
        <v>0</v>
      </c>
      <c r="N75" s="16"/>
      <c r="O75" s="104"/>
      <c r="Q75" s="281"/>
      <c r="R75" s="281"/>
      <c r="S75" s="281"/>
      <c r="T75" s="281"/>
      <c r="U75" s="281"/>
    </row>
    <row r="76" spans="1:21" x14ac:dyDescent="0.3">
      <c r="A76" s="347" t="str">
        <f t="shared" si="6"/>
        <v>Exclude</v>
      </c>
      <c r="D76" s="425" t="s">
        <v>1288</v>
      </c>
      <c r="E76" s="40" t="s">
        <v>1027</v>
      </c>
      <c r="F76" s="262"/>
      <c r="G76" s="18"/>
      <c r="H76" s="19" t="s">
        <v>38</v>
      </c>
      <c r="I76" s="16">
        <v>15</v>
      </c>
      <c r="J76" s="16">
        <f t="shared" si="12"/>
        <v>0</v>
      </c>
      <c r="K76" s="304"/>
      <c r="L76" s="298"/>
      <c r="M76" s="298">
        <f t="shared" si="11"/>
        <v>0</v>
      </c>
      <c r="N76" s="16"/>
      <c r="O76" s="104"/>
      <c r="Q76" s="281"/>
      <c r="R76" s="281"/>
      <c r="S76" s="281"/>
      <c r="T76" s="281"/>
      <c r="U76" s="281"/>
    </row>
    <row r="77" spans="1:21" x14ac:dyDescent="0.3">
      <c r="A77" s="347" t="str">
        <f t="shared" si="6"/>
        <v>Exclude</v>
      </c>
      <c r="D77" s="425" t="s">
        <v>1288</v>
      </c>
      <c r="E77" s="38" t="s">
        <v>1029</v>
      </c>
      <c r="F77" s="262"/>
      <c r="G77" s="18"/>
      <c r="H77" s="19" t="s">
        <v>578</v>
      </c>
      <c r="I77" s="16">
        <v>8</v>
      </c>
      <c r="J77" s="16">
        <f t="shared" si="12"/>
        <v>0</v>
      </c>
      <c r="K77" s="304"/>
      <c r="L77" s="298"/>
      <c r="M77" s="298">
        <f t="shared" si="11"/>
        <v>0</v>
      </c>
      <c r="N77" s="16"/>
      <c r="O77" s="104"/>
      <c r="Q77" s="281"/>
      <c r="R77" s="281"/>
      <c r="S77" s="281"/>
      <c r="T77" s="281"/>
      <c r="U77" s="281"/>
    </row>
    <row r="78" spans="1:21" x14ac:dyDescent="0.3">
      <c r="A78" s="347" t="str">
        <f t="shared" si="6"/>
        <v>Exclude</v>
      </c>
      <c r="D78" s="425" t="s">
        <v>1288</v>
      </c>
      <c r="E78" s="40" t="s">
        <v>1026</v>
      </c>
      <c r="F78" s="262"/>
      <c r="G78" s="18"/>
      <c r="H78" s="19" t="s">
        <v>578</v>
      </c>
      <c r="I78" s="16">
        <v>5.2</v>
      </c>
      <c r="J78" s="16">
        <f>I78*G78</f>
        <v>0</v>
      </c>
      <c r="K78" s="304"/>
      <c r="L78" s="298"/>
      <c r="M78" s="298">
        <f t="shared" si="11"/>
        <v>0</v>
      </c>
      <c r="N78" s="16"/>
      <c r="O78" s="104"/>
      <c r="Q78" s="281"/>
      <c r="R78" s="281"/>
      <c r="S78" s="281"/>
      <c r="T78" s="281"/>
      <c r="U78" s="281"/>
    </row>
    <row r="79" spans="1:21" x14ac:dyDescent="0.3">
      <c r="A79" s="347" t="str">
        <f t="shared" si="6"/>
        <v>Exclude</v>
      </c>
      <c r="D79" s="425" t="s">
        <v>1288</v>
      </c>
      <c r="E79" s="40" t="s">
        <v>1041</v>
      </c>
      <c r="F79" s="262"/>
      <c r="G79" s="18"/>
      <c r="H79" s="19" t="s">
        <v>38</v>
      </c>
      <c r="I79" s="16">
        <v>2.65</v>
      </c>
      <c r="J79" s="16">
        <f>I79*G79</f>
        <v>0</v>
      </c>
      <c r="K79" s="304"/>
      <c r="L79" s="298"/>
      <c r="M79" s="298">
        <f t="shared" si="11"/>
        <v>0</v>
      </c>
      <c r="N79" s="16"/>
      <c r="O79" s="104"/>
      <c r="Q79" s="281"/>
      <c r="R79" s="281"/>
      <c r="S79" s="281"/>
      <c r="T79" s="281"/>
      <c r="U79" s="281"/>
    </row>
    <row r="80" spans="1:21" x14ac:dyDescent="0.3">
      <c r="A80" s="347" t="str">
        <f t="shared" si="6"/>
        <v>Exclude</v>
      </c>
      <c r="D80" s="425" t="s">
        <v>1288</v>
      </c>
      <c r="E80" s="38" t="s">
        <v>1030</v>
      </c>
      <c r="F80" s="10" t="s">
        <v>1042</v>
      </c>
      <c r="G80" s="18">
        <f>IF(G79=0,0,1)</f>
        <v>0</v>
      </c>
      <c r="H80" s="19" t="s">
        <v>0</v>
      </c>
      <c r="I80" s="16">
        <v>45000</v>
      </c>
      <c r="J80" s="16">
        <f>I80*G80</f>
        <v>0</v>
      </c>
      <c r="K80" s="304"/>
      <c r="L80" s="298"/>
      <c r="M80" s="298">
        <f t="shared" si="11"/>
        <v>0</v>
      </c>
      <c r="N80" s="16"/>
      <c r="O80" s="104"/>
      <c r="Q80" s="281"/>
      <c r="R80" s="281"/>
      <c r="S80" s="281"/>
      <c r="T80" s="281"/>
      <c r="U80" s="281"/>
    </row>
    <row r="81" spans="1:21" x14ac:dyDescent="0.3">
      <c r="A81" s="347" t="str">
        <f t="shared" si="6"/>
        <v>Exclude</v>
      </c>
      <c r="D81" s="425" t="s">
        <v>1288</v>
      </c>
      <c r="E81" s="38" t="s">
        <v>413</v>
      </c>
      <c r="F81" s="10"/>
      <c r="G81" s="18"/>
      <c r="H81" s="19" t="s">
        <v>38</v>
      </c>
      <c r="I81" s="16">
        <v>3</v>
      </c>
      <c r="J81" s="16">
        <f t="shared" si="12"/>
        <v>0</v>
      </c>
      <c r="K81" s="304"/>
      <c r="L81" s="298"/>
      <c r="M81" s="298">
        <f t="shared" si="11"/>
        <v>0</v>
      </c>
      <c r="N81" s="16"/>
      <c r="O81" s="104"/>
      <c r="Q81" s="281"/>
      <c r="R81" s="281"/>
      <c r="S81" s="281"/>
      <c r="T81" s="281"/>
      <c r="U81" s="281"/>
    </row>
    <row r="82" spans="1:21" x14ac:dyDescent="0.3">
      <c r="A82" s="347" t="str">
        <f t="shared" si="6"/>
        <v>Exclude</v>
      </c>
      <c r="D82" s="425" t="s">
        <v>1288</v>
      </c>
      <c r="E82" s="38" t="s">
        <v>414</v>
      </c>
      <c r="F82" s="10"/>
      <c r="G82" s="18"/>
      <c r="H82" s="19" t="s">
        <v>38</v>
      </c>
      <c r="I82" s="16">
        <v>16</v>
      </c>
      <c r="J82" s="16">
        <f t="shared" si="12"/>
        <v>0</v>
      </c>
      <c r="K82" s="304"/>
      <c r="L82" s="298"/>
      <c r="M82" s="298">
        <f t="shared" si="11"/>
        <v>0</v>
      </c>
      <c r="N82" s="16"/>
      <c r="O82" s="104"/>
      <c r="Q82" s="281"/>
      <c r="R82" s="281"/>
      <c r="S82" s="281"/>
      <c r="T82" s="281"/>
      <c r="U82" s="281"/>
    </row>
    <row r="83" spans="1:21" x14ac:dyDescent="0.3">
      <c r="A83" s="347" t="str">
        <f t="shared" si="6"/>
        <v>Exclude</v>
      </c>
      <c r="D83" s="425" t="s">
        <v>1288</v>
      </c>
      <c r="E83" s="38" t="s">
        <v>415</v>
      </c>
      <c r="F83" s="10"/>
      <c r="G83" s="18"/>
      <c r="H83" s="19" t="s">
        <v>38</v>
      </c>
      <c r="I83" s="16">
        <v>75</v>
      </c>
      <c r="J83" s="16">
        <f t="shared" ref="J83" si="14">I83*G83</f>
        <v>0</v>
      </c>
      <c r="K83" s="304"/>
      <c r="L83" s="298"/>
      <c r="M83" s="298">
        <f t="shared" si="11"/>
        <v>0</v>
      </c>
      <c r="N83" s="16"/>
      <c r="O83" s="104"/>
      <c r="Q83" s="281"/>
      <c r="R83" s="281"/>
      <c r="S83" s="281"/>
      <c r="T83" s="281"/>
      <c r="U83" s="281"/>
    </row>
    <row r="84" spans="1:21" x14ac:dyDescent="0.3">
      <c r="A84" s="347" t="str">
        <f t="shared" si="6"/>
        <v>Exclude</v>
      </c>
      <c r="D84" s="425" t="s">
        <v>1288</v>
      </c>
      <c r="E84" s="38" t="s">
        <v>1021</v>
      </c>
      <c r="F84" s="10"/>
      <c r="G84" s="18"/>
      <c r="H84" s="19" t="s">
        <v>1</v>
      </c>
      <c r="I84" s="16">
        <v>0.12</v>
      </c>
      <c r="J84" s="16">
        <f t="shared" ref="J84:J91" si="15">I84*G84</f>
        <v>0</v>
      </c>
      <c r="K84" s="304"/>
      <c r="L84" s="298"/>
      <c r="M84" s="298">
        <f t="shared" si="11"/>
        <v>0</v>
      </c>
      <c r="N84" s="16"/>
      <c r="O84" s="104"/>
      <c r="Q84" s="281"/>
      <c r="R84" s="281"/>
      <c r="S84" s="281"/>
      <c r="T84" s="281"/>
      <c r="U84" s="281"/>
    </row>
    <row r="85" spans="1:21" x14ac:dyDescent="0.3">
      <c r="A85" s="347" t="str">
        <f t="shared" si="6"/>
        <v>Exclude</v>
      </c>
      <c r="D85" s="425" t="s">
        <v>1288</v>
      </c>
      <c r="E85" s="38" t="s">
        <v>1020</v>
      </c>
      <c r="F85" s="10"/>
      <c r="G85" s="18"/>
      <c r="H85" s="19" t="s">
        <v>1</v>
      </c>
      <c r="I85" s="16">
        <v>0.16</v>
      </c>
      <c r="J85" s="16">
        <f t="shared" si="15"/>
        <v>0</v>
      </c>
      <c r="K85" s="304"/>
      <c r="L85" s="298"/>
      <c r="M85" s="298">
        <f t="shared" si="11"/>
        <v>0</v>
      </c>
      <c r="N85" s="16"/>
      <c r="O85" s="104"/>
      <c r="Q85" s="281"/>
      <c r="R85" s="281"/>
      <c r="S85" s="281"/>
      <c r="T85" s="281"/>
      <c r="U85" s="281"/>
    </row>
    <row r="86" spans="1:21" x14ac:dyDescent="0.3">
      <c r="A86" s="347" t="str">
        <f t="shared" si="6"/>
        <v>Exclude</v>
      </c>
      <c r="D86" s="425" t="s">
        <v>1288</v>
      </c>
      <c r="E86" s="37" t="s">
        <v>1019</v>
      </c>
      <c r="F86" s="10"/>
      <c r="G86" s="18">
        <f>SUM(G218:G221)</f>
        <v>0</v>
      </c>
      <c r="H86" s="17" t="s">
        <v>3</v>
      </c>
      <c r="I86" s="16">
        <v>2.5</v>
      </c>
      <c r="J86" s="16">
        <f>I86*G86</f>
        <v>0</v>
      </c>
      <c r="K86" s="304"/>
      <c r="L86" s="298"/>
      <c r="M86" s="298">
        <f t="shared" si="11"/>
        <v>0</v>
      </c>
      <c r="N86" s="16"/>
      <c r="O86" s="104"/>
      <c r="Q86" s="281"/>
      <c r="R86" s="281"/>
      <c r="S86" s="281"/>
      <c r="T86" s="281"/>
      <c r="U86" s="281"/>
    </row>
    <row r="87" spans="1:21" x14ac:dyDescent="0.3">
      <c r="A87" s="347" t="str">
        <f t="shared" si="6"/>
        <v>Exclude</v>
      </c>
      <c r="D87" s="429" t="s">
        <v>1289</v>
      </c>
      <c r="E87" s="329" t="s">
        <v>1217</v>
      </c>
      <c r="F87" s="330">
        <v>6</v>
      </c>
      <c r="G87" s="331">
        <f>SUM(G202:G206)*1.03/9*F87*110/2000</f>
        <v>0</v>
      </c>
      <c r="H87" s="332" t="s">
        <v>20</v>
      </c>
      <c r="I87" s="333">
        <v>32</v>
      </c>
      <c r="J87" s="333">
        <f>G87*I87</f>
        <v>0</v>
      </c>
      <c r="K87" s="334"/>
      <c r="L87" s="335"/>
      <c r="M87" s="335">
        <f>IF(K87="x","Included in Sub Bid",J87)</f>
        <v>0</v>
      </c>
      <c r="N87" s="16"/>
      <c r="O87" s="104"/>
      <c r="Q87" s="281"/>
      <c r="R87" s="281"/>
      <c r="S87" s="281"/>
      <c r="T87" s="281"/>
      <c r="U87" s="281"/>
    </row>
    <row r="88" spans="1:21" x14ac:dyDescent="0.3">
      <c r="A88" s="347" t="str">
        <f t="shared" si="6"/>
        <v>Exclude</v>
      </c>
      <c r="D88" s="425" t="s">
        <v>1288</v>
      </c>
      <c r="E88" s="38" t="s">
        <v>1037</v>
      </c>
      <c r="F88" s="10"/>
      <c r="G88" s="18"/>
      <c r="H88" s="19" t="s">
        <v>578</v>
      </c>
      <c r="I88" s="16">
        <v>6.2</v>
      </c>
      <c r="J88" s="16">
        <f>I88*G88</f>
        <v>0</v>
      </c>
      <c r="K88" s="304"/>
      <c r="L88" s="298"/>
      <c r="M88" s="298">
        <f t="shared" si="11"/>
        <v>0</v>
      </c>
      <c r="N88" s="16"/>
      <c r="O88" s="104"/>
      <c r="Q88" s="281"/>
      <c r="R88" s="281"/>
      <c r="S88" s="281"/>
      <c r="T88" s="281"/>
      <c r="U88" s="281"/>
    </row>
    <row r="89" spans="1:21" x14ac:dyDescent="0.3">
      <c r="A89" s="347" t="str">
        <f t="shared" si="6"/>
        <v>Exclude</v>
      </c>
      <c r="D89" s="425" t="s">
        <v>1288</v>
      </c>
      <c r="E89" s="38" t="s">
        <v>1038</v>
      </c>
      <c r="F89" s="10"/>
      <c r="G89" s="18"/>
      <c r="H89" s="19" t="s">
        <v>578</v>
      </c>
      <c r="I89" s="16">
        <v>5.6</v>
      </c>
      <c r="J89" s="16">
        <f t="shared" si="15"/>
        <v>0</v>
      </c>
      <c r="K89" s="304"/>
      <c r="L89" s="298"/>
      <c r="M89" s="298">
        <f t="shared" si="11"/>
        <v>0</v>
      </c>
      <c r="N89" s="16"/>
      <c r="O89" s="104"/>
      <c r="Q89" s="281"/>
      <c r="R89" s="281"/>
      <c r="S89" s="281"/>
      <c r="T89" s="281"/>
      <c r="U89" s="281"/>
    </row>
    <row r="90" spans="1:21" x14ac:dyDescent="0.3">
      <c r="A90" s="347" t="str">
        <f t="shared" si="6"/>
        <v>Exclude</v>
      </c>
      <c r="D90" s="425" t="s">
        <v>1288</v>
      </c>
      <c r="E90" s="38" t="s">
        <v>1043</v>
      </c>
      <c r="F90" s="10"/>
      <c r="G90" s="18">
        <f>IF(SUM(G58:G89)=0,0,1)</f>
        <v>0</v>
      </c>
      <c r="H90" s="19" t="s">
        <v>0</v>
      </c>
      <c r="I90" s="16">
        <v>10000</v>
      </c>
      <c r="J90" s="16">
        <f t="shared" si="15"/>
        <v>0</v>
      </c>
      <c r="K90" s="304"/>
      <c r="L90" s="298"/>
      <c r="M90" s="298">
        <f t="shared" si="11"/>
        <v>0</v>
      </c>
      <c r="N90" s="16"/>
      <c r="O90" s="104"/>
      <c r="Q90" s="281"/>
      <c r="R90" s="281"/>
      <c r="S90" s="281"/>
      <c r="T90" s="281"/>
      <c r="U90" s="281"/>
    </row>
    <row r="91" spans="1:21" x14ac:dyDescent="0.3">
      <c r="A91" s="347" t="str">
        <f>A90</f>
        <v>Exclude</v>
      </c>
      <c r="D91" s="425" t="s">
        <v>1288</v>
      </c>
      <c r="E91" s="38" t="s">
        <v>50</v>
      </c>
      <c r="F91" s="10"/>
      <c r="G91" s="18"/>
      <c r="H91" s="19" t="s">
        <v>20</v>
      </c>
      <c r="I91" s="16">
        <v>36</v>
      </c>
      <c r="J91" s="16">
        <f t="shared" si="15"/>
        <v>0</v>
      </c>
      <c r="K91" s="304"/>
      <c r="L91" s="298"/>
      <c r="M91" s="298">
        <f t="shared" si="11"/>
        <v>0</v>
      </c>
      <c r="N91" s="16"/>
      <c r="O91" s="104"/>
      <c r="Q91" s="281"/>
      <c r="R91" s="281"/>
      <c r="S91" s="281"/>
      <c r="T91" s="281"/>
      <c r="U91" s="281"/>
    </row>
    <row r="92" spans="1:21" x14ac:dyDescent="0.3">
      <c r="A92" s="347" t="str">
        <f t="shared" si="6"/>
        <v>Exclude</v>
      </c>
      <c r="D92" s="427" t="s">
        <v>1288</v>
      </c>
      <c r="E92" s="199" t="s">
        <v>943</v>
      </c>
      <c r="F92" s="200"/>
      <c r="G92" s="201"/>
      <c r="H92" s="202" t="s">
        <v>0</v>
      </c>
      <c r="I92" s="203"/>
      <c r="J92" s="203"/>
      <c r="K92" s="304"/>
      <c r="L92" s="302"/>
      <c r="M92" s="302">
        <f>IF(K92="x","Included in Sub Bid",G92*I92)</f>
        <v>0</v>
      </c>
      <c r="N92" s="16"/>
      <c r="O92" s="104"/>
      <c r="Q92" s="281"/>
      <c r="R92" s="281"/>
      <c r="S92" s="281"/>
      <c r="T92" s="281"/>
      <c r="U92" s="281"/>
    </row>
    <row r="93" spans="1:21" x14ac:dyDescent="0.3">
      <c r="A93" s="347" t="str">
        <f t="shared" si="6"/>
        <v>Exclude</v>
      </c>
      <c r="D93" s="427" t="s">
        <v>1288</v>
      </c>
      <c r="E93" s="199" t="s">
        <v>944</v>
      </c>
      <c r="F93" s="200"/>
      <c r="G93" s="201"/>
      <c r="H93" s="202" t="s">
        <v>0</v>
      </c>
      <c r="I93" s="203"/>
      <c r="J93" s="203"/>
      <c r="K93" s="304"/>
      <c r="L93" s="302"/>
      <c r="M93" s="302">
        <f>IF(K93="x","Included in Sub Bid",G93*I93)</f>
        <v>0</v>
      </c>
      <c r="N93" s="16"/>
      <c r="O93" s="104"/>
      <c r="Q93" s="281"/>
      <c r="R93" s="281"/>
      <c r="S93" s="281"/>
      <c r="T93" s="281"/>
      <c r="U93" s="281"/>
    </row>
    <row r="94" spans="1:21" x14ac:dyDescent="0.3">
      <c r="A94" s="347" t="str">
        <f t="shared" si="6"/>
        <v>Exclude</v>
      </c>
      <c r="D94" s="425"/>
      <c r="E94" s="33"/>
      <c r="F94" s="10"/>
      <c r="G94" s="18"/>
      <c r="H94" s="12"/>
      <c r="I94" s="16"/>
      <c r="J94" s="16"/>
      <c r="K94" s="304"/>
      <c r="L94" s="298"/>
      <c r="M94" s="298"/>
      <c r="N94" s="16"/>
      <c r="O94" s="104"/>
      <c r="Q94" s="281"/>
      <c r="R94" s="281"/>
      <c r="S94" s="281"/>
      <c r="T94" s="281"/>
      <c r="U94" s="281"/>
    </row>
    <row r="95" spans="1:21" x14ac:dyDescent="0.3">
      <c r="A95" s="347" t="str">
        <f t="shared" si="6"/>
        <v>Exclude</v>
      </c>
      <c r="D95" s="425"/>
      <c r="E95" s="39"/>
      <c r="F95" s="10"/>
      <c r="G95" s="14"/>
      <c r="H95" s="12"/>
      <c r="I95" s="16"/>
      <c r="J95" s="16"/>
      <c r="K95" s="436"/>
      <c r="L95" s="298"/>
      <c r="M95" s="298"/>
      <c r="N95" s="16"/>
      <c r="O95" s="104"/>
      <c r="Q95" s="281"/>
      <c r="R95" s="281"/>
      <c r="S95" s="281"/>
      <c r="T95" s="281"/>
      <c r="U95" s="281"/>
    </row>
    <row r="96" spans="1:21" s="55" customFormat="1" ht="17.25" customHeight="1" x14ac:dyDescent="0.3">
      <c r="A96" s="347" t="str">
        <f>IF(J96=0,"Exclude","x")</f>
        <v>Exclude</v>
      </c>
      <c r="D96" s="424" t="s">
        <v>821</v>
      </c>
      <c r="E96" s="69" t="s">
        <v>627</v>
      </c>
      <c r="F96" s="56"/>
      <c r="G96" s="57"/>
      <c r="H96" s="58"/>
      <c r="I96" s="59"/>
      <c r="J96" s="60">
        <f>SUBTOTAL(9,J97:J141)</f>
        <v>0</v>
      </c>
      <c r="K96" s="59">
        <f>IFERROR(J96/$G$6,0)</f>
        <v>0</v>
      </c>
      <c r="L96" s="309"/>
      <c r="M96" s="60"/>
      <c r="N96" s="59">
        <f>SUM(M97:M141)</f>
        <v>0</v>
      </c>
      <c r="O96" s="435">
        <f>IFERROR(N96/$G$6,0)</f>
        <v>0</v>
      </c>
      <c r="Q96" s="284"/>
      <c r="R96" s="284"/>
      <c r="S96" s="284"/>
      <c r="T96" s="284"/>
      <c r="U96" s="284"/>
    </row>
    <row r="97" spans="1:21" x14ac:dyDescent="0.3">
      <c r="A97" s="347" t="str">
        <f t="shared" si="6"/>
        <v>Exclude</v>
      </c>
      <c r="D97" s="426" t="s">
        <v>1290</v>
      </c>
      <c r="E97" s="39" t="s">
        <v>1203</v>
      </c>
      <c r="F97" s="24"/>
      <c r="G97" s="292"/>
      <c r="H97" s="25"/>
      <c r="I97" s="293"/>
      <c r="J97" s="293"/>
      <c r="K97" s="301"/>
      <c r="L97" s="300">
        <v>0</v>
      </c>
      <c r="M97" s="301">
        <f>L97</f>
        <v>0</v>
      </c>
      <c r="N97" s="293"/>
      <c r="O97" s="294"/>
      <c r="Q97" s="282"/>
      <c r="R97" s="281"/>
      <c r="S97" s="283"/>
      <c r="T97" s="283"/>
      <c r="U97" s="283"/>
    </row>
    <row r="98" spans="1:21" x14ac:dyDescent="0.3">
      <c r="A98" s="347" t="str">
        <f t="shared" si="6"/>
        <v>Exclude</v>
      </c>
      <c r="D98" s="425" t="s">
        <v>1290</v>
      </c>
      <c r="E98" s="38" t="s">
        <v>341</v>
      </c>
      <c r="F98" s="10"/>
      <c r="G98" s="18"/>
      <c r="H98" s="19" t="s">
        <v>3</v>
      </c>
      <c r="I98" s="16">
        <v>40</v>
      </c>
      <c r="J98" s="16">
        <f t="shared" ref="J98:J134" si="16">I98*G98</f>
        <v>0</v>
      </c>
      <c r="K98" s="304"/>
      <c r="L98" s="298"/>
      <c r="M98" s="298">
        <f t="shared" ref="M98:M137" si="17">IF(K98="x","Included in Sub Bid",J98)</f>
        <v>0</v>
      </c>
      <c r="N98" s="16"/>
      <c r="O98" s="104"/>
      <c r="Q98" s="281"/>
      <c r="R98" s="281"/>
      <c r="S98" s="281"/>
      <c r="T98" s="281"/>
      <c r="U98" s="281"/>
    </row>
    <row r="99" spans="1:21" x14ac:dyDescent="0.3">
      <c r="A99" s="347" t="str">
        <f t="shared" si="6"/>
        <v>Exclude</v>
      </c>
      <c r="D99" s="425" t="s">
        <v>1290</v>
      </c>
      <c r="E99" s="38" t="s">
        <v>1237</v>
      </c>
      <c r="F99" s="10"/>
      <c r="G99" s="18"/>
      <c r="H99" s="19" t="s">
        <v>2</v>
      </c>
      <c r="I99" s="16">
        <v>250</v>
      </c>
      <c r="J99" s="16">
        <f t="shared" ref="J99" si="18">I99*G99</f>
        <v>0</v>
      </c>
      <c r="K99" s="304"/>
      <c r="L99" s="298"/>
      <c r="M99" s="298">
        <f t="shared" ref="M99" si="19">IF(K99="x","Included in Sub Bid",J99)</f>
        <v>0</v>
      </c>
      <c r="N99" s="16"/>
      <c r="O99" s="104"/>
      <c r="Q99" s="281"/>
      <c r="R99" s="281"/>
      <c r="S99" s="281"/>
      <c r="T99" s="281"/>
      <c r="U99" s="281"/>
    </row>
    <row r="100" spans="1:21" x14ac:dyDescent="0.3">
      <c r="A100" s="347" t="str">
        <f t="shared" si="6"/>
        <v>Exclude</v>
      </c>
      <c r="D100" s="425" t="s">
        <v>1290</v>
      </c>
      <c r="E100" s="38" t="s">
        <v>385</v>
      </c>
      <c r="F100" s="10"/>
      <c r="G100" s="18"/>
      <c r="H100" s="19" t="s">
        <v>3</v>
      </c>
      <c r="I100" s="16"/>
      <c r="J100" s="16">
        <f t="shared" si="16"/>
        <v>0</v>
      </c>
      <c r="K100" s="304"/>
      <c r="L100" s="298"/>
      <c r="M100" s="298">
        <f t="shared" si="17"/>
        <v>0</v>
      </c>
      <c r="N100" s="16"/>
      <c r="O100" s="104"/>
      <c r="Q100" s="281"/>
      <c r="R100" s="281"/>
      <c r="S100" s="281"/>
      <c r="T100" s="281"/>
      <c r="U100" s="281"/>
    </row>
    <row r="101" spans="1:21" x14ac:dyDescent="0.3">
      <c r="A101" s="347" t="str">
        <f t="shared" si="6"/>
        <v>Exclude</v>
      </c>
      <c r="D101" s="425" t="s">
        <v>1290</v>
      </c>
      <c r="E101" s="38" t="s">
        <v>435</v>
      </c>
      <c r="F101" s="10"/>
      <c r="G101" s="18"/>
      <c r="H101" s="19" t="s">
        <v>3</v>
      </c>
      <c r="I101" s="16"/>
      <c r="J101" s="16">
        <f t="shared" ref="J101:J121" si="20">I101*G101</f>
        <v>0</v>
      </c>
      <c r="K101" s="304"/>
      <c r="L101" s="298"/>
      <c r="M101" s="298">
        <f t="shared" si="17"/>
        <v>0</v>
      </c>
      <c r="N101" s="16"/>
      <c r="O101" s="104"/>
      <c r="Q101" s="281"/>
      <c r="R101" s="281"/>
      <c r="S101" s="281"/>
      <c r="T101" s="281"/>
      <c r="U101" s="281"/>
    </row>
    <row r="102" spans="1:21" x14ac:dyDescent="0.3">
      <c r="A102" s="347" t="str">
        <f t="shared" si="6"/>
        <v>Exclude</v>
      </c>
      <c r="D102" s="425" t="s">
        <v>1290</v>
      </c>
      <c r="E102" s="38" t="s">
        <v>442</v>
      </c>
      <c r="F102" s="10"/>
      <c r="G102" s="18"/>
      <c r="H102" s="19" t="s">
        <v>3</v>
      </c>
      <c r="I102" s="16"/>
      <c r="J102" s="16">
        <f t="shared" si="20"/>
        <v>0</v>
      </c>
      <c r="K102" s="304"/>
      <c r="L102" s="298"/>
      <c r="M102" s="298">
        <f t="shared" si="17"/>
        <v>0</v>
      </c>
      <c r="N102" s="16"/>
      <c r="O102" s="104"/>
      <c r="Q102" s="281"/>
      <c r="R102" s="281"/>
      <c r="S102" s="281"/>
      <c r="T102" s="281"/>
      <c r="U102" s="281"/>
    </row>
    <row r="103" spans="1:21" x14ac:dyDescent="0.3">
      <c r="A103" s="347" t="str">
        <f t="shared" ref="A103:A167" si="21">A102</f>
        <v>Exclude</v>
      </c>
      <c r="D103" s="425" t="s">
        <v>1290</v>
      </c>
      <c r="E103" s="38" t="s">
        <v>436</v>
      </c>
      <c r="F103" s="10"/>
      <c r="G103" s="18"/>
      <c r="H103" s="19" t="s">
        <v>3</v>
      </c>
      <c r="I103" s="16"/>
      <c r="J103" s="16">
        <f t="shared" si="20"/>
        <v>0</v>
      </c>
      <c r="K103" s="304"/>
      <c r="L103" s="298"/>
      <c r="M103" s="298">
        <f t="shared" si="17"/>
        <v>0</v>
      </c>
      <c r="N103" s="16"/>
      <c r="O103" s="104"/>
      <c r="Q103" s="281"/>
      <c r="R103" s="281"/>
      <c r="S103" s="281"/>
      <c r="T103" s="281"/>
      <c r="U103" s="281"/>
    </row>
    <row r="104" spans="1:21" x14ac:dyDescent="0.3">
      <c r="A104" s="347" t="str">
        <f t="shared" si="21"/>
        <v>Exclude</v>
      </c>
      <c r="D104" s="425" t="s">
        <v>1290</v>
      </c>
      <c r="E104" s="38" t="s">
        <v>437</v>
      </c>
      <c r="F104" s="10"/>
      <c r="G104" s="18"/>
      <c r="H104" s="19" t="s">
        <v>3</v>
      </c>
      <c r="I104" s="16"/>
      <c r="J104" s="16">
        <f t="shared" si="20"/>
        <v>0</v>
      </c>
      <c r="K104" s="304"/>
      <c r="L104" s="298"/>
      <c r="M104" s="298">
        <f t="shared" si="17"/>
        <v>0</v>
      </c>
      <c r="N104" s="16"/>
      <c r="O104" s="104"/>
      <c r="Q104" s="281"/>
      <c r="R104" s="281"/>
      <c r="S104" s="281"/>
      <c r="T104" s="281"/>
      <c r="U104" s="281"/>
    </row>
    <row r="105" spans="1:21" x14ac:dyDescent="0.3">
      <c r="A105" s="347" t="str">
        <f t="shared" si="21"/>
        <v>Exclude</v>
      </c>
      <c r="D105" s="425" t="s">
        <v>1290</v>
      </c>
      <c r="E105" s="38" t="s">
        <v>438</v>
      </c>
      <c r="F105" s="10"/>
      <c r="G105" s="18"/>
      <c r="H105" s="19" t="s">
        <v>3</v>
      </c>
      <c r="I105" s="16"/>
      <c r="J105" s="16">
        <f t="shared" si="20"/>
        <v>0</v>
      </c>
      <c r="K105" s="304"/>
      <c r="L105" s="298"/>
      <c r="M105" s="298">
        <f t="shared" si="17"/>
        <v>0</v>
      </c>
      <c r="N105" s="16"/>
      <c r="O105" s="104"/>
      <c r="Q105" s="281"/>
      <c r="R105" s="281"/>
      <c r="S105" s="281"/>
      <c r="T105" s="281"/>
      <c r="U105" s="281"/>
    </row>
    <row r="106" spans="1:21" x14ac:dyDescent="0.3">
      <c r="A106" s="347" t="str">
        <f t="shared" si="21"/>
        <v>Exclude</v>
      </c>
      <c r="D106" s="425" t="s">
        <v>1290</v>
      </c>
      <c r="E106" s="38" t="s">
        <v>439</v>
      </c>
      <c r="F106" s="10"/>
      <c r="G106" s="18"/>
      <c r="H106" s="19" t="s">
        <v>3</v>
      </c>
      <c r="I106" s="16"/>
      <c r="J106" s="16">
        <f t="shared" si="20"/>
        <v>0</v>
      </c>
      <c r="K106" s="304"/>
      <c r="L106" s="298"/>
      <c r="M106" s="298">
        <f t="shared" si="17"/>
        <v>0</v>
      </c>
      <c r="N106" s="16"/>
      <c r="O106" s="104"/>
      <c r="Q106" s="281"/>
      <c r="R106" s="281"/>
      <c r="S106" s="281"/>
      <c r="T106" s="281"/>
      <c r="U106" s="281"/>
    </row>
    <row r="107" spans="1:21" x14ac:dyDescent="0.3">
      <c r="A107" s="347" t="str">
        <f t="shared" si="21"/>
        <v>Exclude</v>
      </c>
      <c r="D107" s="425" t="s">
        <v>1290</v>
      </c>
      <c r="E107" s="38" t="s">
        <v>440</v>
      </c>
      <c r="F107" s="10"/>
      <c r="G107" s="18"/>
      <c r="H107" s="19" t="s">
        <v>3</v>
      </c>
      <c r="I107" s="16"/>
      <c r="J107" s="16">
        <f t="shared" si="20"/>
        <v>0</v>
      </c>
      <c r="K107" s="304"/>
      <c r="L107" s="298"/>
      <c r="M107" s="298">
        <f t="shared" si="17"/>
        <v>0</v>
      </c>
      <c r="N107" s="16"/>
      <c r="O107" s="104"/>
      <c r="Q107" s="281"/>
      <c r="R107" s="281"/>
      <c r="S107" s="281"/>
      <c r="T107" s="281"/>
      <c r="U107" s="281"/>
    </row>
    <row r="108" spans="1:21" x14ac:dyDescent="0.3">
      <c r="A108" s="347" t="str">
        <f t="shared" si="21"/>
        <v>Exclude</v>
      </c>
      <c r="D108" s="425" t="s">
        <v>1290</v>
      </c>
      <c r="E108" s="38" t="s">
        <v>441</v>
      </c>
      <c r="F108" s="10"/>
      <c r="G108" s="18"/>
      <c r="H108" s="19" t="s">
        <v>3</v>
      </c>
      <c r="I108" s="16"/>
      <c r="J108" s="16">
        <f t="shared" si="20"/>
        <v>0</v>
      </c>
      <c r="K108" s="304"/>
      <c r="L108" s="298"/>
      <c r="M108" s="298">
        <f t="shared" si="17"/>
        <v>0</v>
      </c>
      <c r="N108" s="16"/>
      <c r="O108" s="104"/>
      <c r="Q108" s="281"/>
      <c r="R108" s="281"/>
      <c r="S108" s="281"/>
      <c r="T108" s="281"/>
      <c r="U108" s="281"/>
    </row>
    <row r="109" spans="1:21" x14ac:dyDescent="0.3">
      <c r="A109" s="347" t="str">
        <f t="shared" si="21"/>
        <v>Exclude</v>
      </c>
      <c r="D109" s="425" t="s">
        <v>1290</v>
      </c>
      <c r="E109" s="38" t="s">
        <v>504</v>
      </c>
      <c r="F109" s="10"/>
      <c r="G109" s="18"/>
      <c r="H109" s="19" t="s">
        <v>3</v>
      </c>
      <c r="I109" s="16"/>
      <c r="J109" s="16">
        <f t="shared" si="20"/>
        <v>0</v>
      </c>
      <c r="K109" s="304"/>
      <c r="L109" s="298"/>
      <c r="M109" s="298">
        <f t="shared" si="17"/>
        <v>0</v>
      </c>
      <c r="N109" s="16"/>
      <c r="O109" s="104"/>
      <c r="Q109" s="281"/>
      <c r="R109" s="281"/>
      <c r="S109" s="281"/>
      <c r="T109" s="281"/>
      <c r="U109" s="281"/>
    </row>
    <row r="110" spans="1:21" x14ac:dyDescent="0.3">
      <c r="A110" s="347" t="str">
        <f t="shared" si="21"/>
        <v>Exclude</v>
      </c>
      <c r="D110" s="425" t="s">
        <v>1290</v>
      </c>
      <c r="E110" s="38" t="s">
        <v>1218</v>
      </c>
      <c r="F110" s="278"/>
      <c r="G110" s="18"/>
      <c r="H110" s="19" t="s">
        <v>3</v>
      </c>
      <c r="I110" s="16">
        <v>52.5</v>
      </c>
      <c r="J110" s="16">
        <f t="shared" ref="J110" si="22">I110*G110</f>
        <v>0</v>
      </c>
      <c r="K110" s="304"/>
      <c r="L110" s="298"/>
      <c r="M110" s="298">
        <f t="shared" ref="M110" si="23">IF(K110="x","Included in Sub Bid",J110)</f>
        <v>0</v>
      </c>
      <c r="N110" s="16"/>
      <c r="O110" s="104"/>
      <c r="Q110" s="281"/>
      <c r="R110" s="281"/>
      <c r="S110" s="281"/>
      <c r="T110" s="281"/>
      <c r="U110" s="281"/>
    </row>
    <row r="111" spans="1:21" x14ac:dyDescent="0.3">
      <c r="A111" s="347" t="str">
        <f t="shared" si="21"/>
        <v>Exclude</v>
      </c>
      <c r="D111" s="425" t="s">
        <v>1290</v>
      </c>
      <c r="E111" s="38" t="s">
        <v>443</v>
      </c>
      <c r="F111" s="278"/>
      <c r="G111" s="18"/>
      <c r="H111" s="19" t="s">
        <v>3</v>
      </c>
      <c r="I111" s="16">
        <v>63</v>
      </c>
      <c r="J111" s="16">
        <f t="shared" si="20"/>
        <v>0</v>
      </c>
      <c r="K111" s="304"/>
      <c r="L111" s="298"/>
      <c r="M111" s="298">
        <f t="shared" si="17"/>
        <v>0</v>
      </c>
      <c r="N111" s="16"/>
      <c r="O111" s="104"/>
      <c r="Q111" s="281"/>
      <c r="R111" s="281"/>
      <c r="S111" s="281"/>
      <c r="T111" s="281"/>
      <c r="U111" s="281"/>
    </row>
    <row r="112" spans="1:21" x14ac:dyDescent="0.3">
      <c r="A112" s="347" t="str">
        <f t="shared" si="21"/>
        <v>Exclude</v>
      </c>
      <c r="D112" s="425" t="s">
        <v>1290</v>
      </c>
      <c r="E112" s="38" t="s">
        <v>1219</v>
      </c>
      <c r="F112" s="10"/>
      <c r="G112" s="18"/>
      <c r="H112" s="19" t="s">
        <v>3</v>
      </c>
      <c r="I112" s="16">
        <v>73.5</v>
      </c>
      <c r="J112" s="16">
        <f t="shared" ref="J112" si="24">I112*G112</f>
        <v>0</v>
      </c>
      <c r="K112" s="304"/>
      <c r="L112" s="298"/>
      <c r="M112" s="298">
        <f t="shared" ref="M112" si="25">IF(K112="x","Included in Sub Bid",J112)</f>
        <v>0</v>
      </c>
      <c r="N112" s="16"/>
      <c r="O112" s="104"/>
      <c r="Q112" s="281"/>
      <c r="R112" s="281"/>
      <c r="S112" s="281"/>
      <c r="T112" s="281"/>
      <c r="U112" s="281"/>
    </row>
    <row r="113" spans="1:21" x14ac:dyDescent="0.3">
      <c r="A113" s="347" t="str">
        <f t="shared" si="21"/>
        <v>Exclude</v>
      </c>
      <c r="D113" s="425" t="s">
        <v>1290</v>
      </c>
      <c r="E113" s="38" t="s">
        <v>444</v>
      </c>
      <c r="F113" s="10"/>
      <c r="G113" s="18"/>
      <c r="H113" s="19" t="s">
        <v>3</v>
      </c>
      <c r="I113" s="16">
        <v>84</v>
      </c>
      <c r="J113" s="16">
        <f t="shared" si="20"/>
        <v>0</v>
      </c>
      <c r="K113" s="304"/>
      <c r="L113" s="298"/>
      <c r="M113" s="298">
        <f t="shared" si="17"/>
        <v>0</v>
      </c>
      <c r="N113" s="16"/>
      <c r="O113" s="104"/>
      <c r="Q113" s="281"/>
      <c r="R113" s="281"/>
      <c r="S113" s="281"/>
      <c r="T113" s="281"/>
      <c r="U113" s="281"/>
    </row>
    <row r="114" spans="1:21" x14ac:dyDescent="0.3">
      <c r="A114" s="347" t="str">
        <f t="shared" si="21"/>
        <v>Exclude</v>
      </c>
      <c r="D114" s="425" t="s">
        <v>1290</v>
      </c>
      <c r="E114" s="38" t="s">
        <v>445</v>
      </c>
      <c r="F114" s="10"/>
      <c r="G114" s="18"/>
      <c r="H114" s="19" t="s">
        <v>3</v>
      </c>
      <c r="I114" s="16">
        <v>105</v>
      </c>
      <c r="J114" s="16">
        <f t="shared" si="20"/>
        <v>0</v>
      </c>
      <c r="K114" s="304"/>
      <c r="L114" s="298"/>
      <c r="M114" s="298">
        <f t="shared" si="17"/>
        <v>0</v>
      </c>
      <c r="N114" s="16"/>
      <c r="O114" s="104"/>
      <c r="Q114" s="281"/>
      <c r="R114" s="281"/>
      <c r="S114" s="281"/>
      <c r="T114" s="281"/>
      <c r="U114" s="281"/>
    </row>
    <row r="115" spans="1:21" x14ac:dyDescent="0.3">
      <c r="A115" s="347" t="str">
        <f t="shared" si="21"/>
        <v>Exclude</v>
      </c>
      <c r="D115" s="425" t="s">
        <v>1290</v>
      </c>
      <c r="E115" s="38" t="s">
        <v>446</v>
      </c>
      <c r="F115" s="10"/>
      <c r="G115" s="18"/>
      <c r="H115" s="19" t="s">
        <v>3</v>
      </c>
      <c r="I115" s="16">
        <v>126</v>
      </c>
      <c r="J115" s="16">
        <f t="shared" si="20"/>
        <v>0</v>
      </c>
      <c r="K115" s="304"/>
      <c r="L115" s="298"/>
      <c r="M115" s="298">
        <f t="shared" si="17"/>
        <v>0</v>
      </c>
      <c r="N115" s="16"/>
      <c r="O115" s="104"/>
      <c r="Q115" s="281"/>
      <c r="R115" s="281"/>
      <c r="S115" s="281"/>
      <c r="T115" s="281"/>
      <c r="U115" s="281"/>
    </row>
    <row r="116" spans="1:21" x14ac:dyDescent="0.3">
      <c r="A116" s="347" t="str">
        <f t="shared" si="21"/>
        <v>Exclude</v>
      </c>
      <c r="D116" s="425" t="s">
        <v>1290</v>
      </c>
      <c r="E116" s="38" t="s">
        <v>447</v>
      </c>
      <c r="F116" s="10"/>
      <c r="G116" s="18"/>
      <c r="H116" s="19" t="s">
        <v>3</v>
      </c>
      <c r="I116" s="16">
        <v>147</v>
      </c>
      <c r="J116" s="16">
        <f t="shared" si="20"/>
        <v>0</v>
      </c>
      <c r="K116" s="304"/>
      <c r="L116" s="298"/>
      <c r="M116" s="298">
        <f t="shared" si="17"/>
        <v>0</v>
      </c>
      <c r="N116" s="16"/>
      <c r="O116" s="104"/>
      <c r="Q116" s="281"/>
      <c r="R116" s="281"/>
      <c r="S116" s="281"/>
      <c r="T116" s="281"/>
      <c r="U116" s="281"/>
    </row>
    <row r="117" spans="1:21" x14ac:dyDescent="0.3">
      <c r="A117" s="347" t="str">
        <f t="shared" si="21"/>
        <v>Exclude</v>
      </c>
      <c r="D117" s="425" t="s">
        <v>1290</v>
      </c>
      <c r="E117" s="38" t="s">
        <v>448</v>
      </c>
      <c r="F117" s="278"/>
      <c r="G117" s="18"/>
      <c r="H117" s="19" t="s">
        <v>3</v>
      </c>
      <c r="I117" s="16">
        <v>168</v>
      </c>
      <c r="J117" s="16">
        <f t="shared" si="20"/>
        <v>0</v>
      </c>
      <c r="K117" s="304"/>
      <c r="L117" s="298"/>
      <c r="M117" s="298">
        <f t="shared" si="17"/>
        <v>0</v>
      </c>
      <c r="N117" s="16"/>
      <c r="O117" s="104"/>
      <c r="Q117" s="281"/>
      <c r="R117" s="281"/>
      <c r="S117" s="281"/>
      <c r="T117" s="281"/>
      <c r="U117" s="281"/>
    </row>
    <row r="118" spans="1:21" x14ac:dyDescent="0.3">
      <c r="A118" s="347" t="str">
        <f t="shared" si="21"/>
        <v>Exclude</v>
      </c>
      <c r="D118" s="425" t="s">
        <v>1290</v>
      </c>
      <c r="E118" s="38" t="s">
        <v>449</v>
      </c>
      <c r="F118" s="10"/>
      <c r="G118" s="18"/>
      <c r="H118" s="19" t="s">
        <v>3</v>
      </c>
      <c r="I118" s="16">
        <v>189</v>
      </c>
      <c r="J118" s="16">
        <f t="shared" si="20"/>
        <v>0</v>
      </c>
      <c r="K118" s="304"/>
      <c r="L118" s="298"/>
      <c r="M118" s="298">
        <f t="shared" si="17"/>
        <v>0</v>
      </c>
      <c r="N118" s="16"/>
      <c r="O118" s="104"/>
      <c r="Q118" s="281"/>
      <c r="R118" s="281"/>
      <c r="S118" s="281"/>
      <c r="T118" s="281"/>
      <c r="U118" s="281"/>
    </row>
    <row r="119" spans="1:21" x14ac:dyDescent="0.3">
      <c r="A119" s="347" t="str">
        <f t="shared" si="21"/>
        <v>Exclude</v>
      </c>
      <c r="D119" s="425" t="s">
        <v>1290</v>
      </c>
      <c r="E119" s="38" t="s">
        <v>450</v>
      </c>
      <c r="F119" s="10"/>
      <c r="G119" s="18"/>
      <c r="H119" s="19" t="s">
        <v>3</v>
      </c>
      <c r="I119" s="16">
        <v>210</v>
      </c>
      <c r="J119" s="16">
        <f t="shared" si="20"/>
        <v>0</v>
      </c>
      <c r="K119" s="304"/>
      <c r="L119" s="298"/>
      <c r="M119" s="298">
        <f t="shared" si="17"/>
        <v>0</v>
      </c>
      <c r="N119" s="16"/>
      <c r="O119" s="104"/>
      <c r="Q119" s="281"/>
      <c r="R119" s="281"/>
      <c r="S119" s="281"/>
      <c r="T119" s="281"/>
      <c r="U119" s="281"/>
    </row>
    <row r="120" spans="1:21" x14ac:dyDescent="0.3">
      <c r="A120" s="347" t="str">
        <f t="shared" si="21"/>
        <v>Exclude</v>
      </c>
      <c r="D120" s="425" t="s">
        <v>1290</v>
      </c>
      <c r="E120" s="38" t="s">
        <v>451</v>
      </c>
      <c r="F120" s="10"/>
      <c r="G120" s="18"/>
      <c r="H120" s="19" t="s">
        <v>3</v>
      </c>
      <c r="I120" s="16">
        <v>231</v>
      </c>
      <c r="J120" s="16">
        <f t="shared" si="20"/>
        <v>0</v>
      </c>
      <c r="K120" s="304"/>
      <c r="L120" s="298"/>
      <c r="M120" s="298">
        <f t="shared" si="17"/>
        <v>0</v>
      </c>
      <c r="N120" s="16"/>
      <c r="O120" s="104"/>
      <c r="Q120" s="281"/>
      <c r="R120" s="281"/>
      <c r="S120" s="281"/>
      <c r="T120" s="281"/>
      <c r="U120" s="281"/>
    </row>
    <row r="121" spans="1:21" x14ac:dyDescent="0.3">
      <c r="A121" s="347" t="str">
        <f t="shared" si="21"/>
        <v>Exclude</v>
      </c>
      <c r="D121" s="425" t="s">
        <v>1290</v>
      </c>
      <c r="E121" s="38" t="s">
        <v>452</v>
      </c>
      <c r="F121" s="10"/>
      <c r="G121" s="18"/>
      <c r="H121" s="19" t="s">
        <v>3</v>
      </c>
      <c r="I121" s="16">
        <v>252</v>
      </c>
      <c r="J121" s="16">
        <f t="shared" si="20"/>
        <v>0</v>
      </c>
      <c r="K121" s="304"/>
      <c r="L121" s="298"/>
      <c r="M121" s="298">
        <f t="shared" si="17"/>
        <v>0</v>
      </c>
      <c r="N121" s="16"/>
      <c r="O121" s="104"/>
      <c r="Q121" s="281"/>
      <c r="R121" s="281"/>
      <c r="S121" s="281"/>
      <c r="T121" s="281"/>
      <c r="U121" s="281"/>
    </row>
    <row r="122" spans="1:21" ht="12.75" customHeight="1" x14ac:dyDescent="0.3">
      <c r="A122" s="347" t="str">
        <f t="shared" si="21"/>
        <v>Exclude</v>
      </c>
      <c r="D122" s="425" t="s">
        <v>1290</v>
      </c>
      <c r="E122" s="38" t="s">
        <v>1077</v>
      </c>
      <c r="F122" s="10"/>
      <c r="G122" s="18"/>
      <c r="H122" s="19" t="s">
        <v>3</v>
      </c>
      <c r="I122" s="16">
        <v>500</v>
      </c>
      <c r="J122" s="16">
        <f>I122*G122</f>
        <v>0</v>
      </c>
      <c r="K122" s="304"/>
      <c r="L122" s="298"/>
      <c r="M122" s="298">
        <f t="shared" si="17"/>
        <v>0</v>
      </c>
      <c r="N122" s="16"/>
      <c r="O122" s="104"/>
      <c r="Q122" s="281"/>
      <c r="R122" s="281"/>
      <c r="S122" s="281"/>
      <c r="T122" s="281"/>
      <c r="U122" s="281"/>
    </row>
    <row r="123" spans="1:21" x14ac:dyDescent="0.3">
      <c r="A123" s="347" t="str">
        <f t="shared" si="21"/>
        <v>Exclude</v>
      </c>
      <c r="D123" s="425" t="s">
        <v>1290</v>
      </c>
      <c r="E123" s="38" t="s">
        <v>756</v>
      </c>
      <c r="F123" s="10"/>
      <c r="G123" s="18"/>
      <c r="H123" s="19" t="s">
        <v>2</v>
      </c>
      <c r="I123" s="16">
        <v>5000</v>
      </c>
      <c r="J123" s="16">
        <f>I123*G123</f>
        <v>0</v>
      </c>
      <c r="K123" s="304"/>
      <c r="L123" s="298"/>
      <c r="M123" s="298">
        <f t="shared" si="17"/>
        <v>0</v>
      </c>
      <c r="N123" s="16"/>
      <c r="O123" s="104"/>
      <c r="Q123" s="281"/>
      <c r="R123" s="281"/>
      <c r="S123" s="281"/>
      <c r="T123" s="281"/>
      <c r="U123" s="281"/>
    </row>
    <row r="124" spans="1:21" x14ac:dyDescent="0.3">
      <c r="A124" s="347" t="str">
        <f t="shared" si="21"/>
        <v>Exclude</v>
      </c>
      <c r="D124" s="425" t="s">
        <v>1290</v>
      </c>
      <c r="E124" s="38" t="s">
        <v>757</v>
      </c>
      <c r="F124" s="10"/>
      <c r="G124" s="18"/>
      <c r="H124" s="19" t="s">
        <v>2</v>
      </c>
      <c r="I124" s="16">
        <v>5000</v>
      </c>
      <c r="J124" s="16">
        <f>I124*G124</f>
        <v>0</v>
      </c>
      <c r="K124" s="304"/>
      <c r="L124" s="298"/>
      <c r="M124" s="298">
        <f t="shared" si="17"/>
        <v>0</v>
      </c>
      <c r="N124" s="16"/>
      <c r="O124" s="104"/>
      <c r="Q124" s="281"/>
      <c r="R124" s="281"/>
      <c r="S124" s="281"/>
      <c r="T124" s="281"/>
      <c r="U124" s="281"/>
    </row>
    <row r="125" spans="1:21" x14ac:dyDescent="0.3">
      <c r="A125" s="347" t="str">
        <f t="shared" si="21"/>
        <v>Exclude</v>
      </c>
      <c r="D125" s="425" t="s">
        <v>1290</v>
      </c>
      <c r="E125" s="38" t="s">
        <v>758</v>
      </c>
      <c r="F125" s="10"/>
      <c r="G125" s="18"/>
      <c r="H125" s="19" t="s">
        <v>2</v>
      </c>
      <c r="I125" s="16">
        <v>5500</v>
      </c>
      <c r="J125" s="16">
        <f>I125*G125</f>
        <v>0</v>
      </c>
      <c r="K125" s="304"/>
      <c r="L125" s="298"/>
      <c r="M125" s="298">
        <f t="shared" si="17"/>
        <v>0</v>
      </c>
      <c r="N125" s="16"/>
      <c r="O125" s="104"/>
      <c r="Q125" s="281"/>
      <c r="R125" s="281"/>
      <c r="S125" s="281"/>
      <c r="T125" s="281"/>
      <c r="U125" s="281"/>
    </row>
    <row r="126" spans="1:21" x14ac:dyDescent="0.3">
      <c r="A126" s="347" t="str">
        <f t="shared" si="21"/>
        <v>Exclude</v>
      </c>
      <c r="D126" s="425" t="s">
        <v>1290</v>
      </c>
      <c r="E126" s="38" t="s">
        <v>248</v>
      </c>
      <c r="F126" s="10"/>
      <c r="G126" s="18"/>
      <c r="H126" s="19" t="s">
        <v>2</v>
      </c>
      <c r="I126" s="16">
        <v>4500</v>
      </c>
      <c r="J126" s="16">
        <f>I126*G126</f>
        <v>0</v>
      </c>
      <c r="K126" s="304"/>
      <c r="L126" s="298"/>
      <c r="M126" s="298">
        <f t="shared" si="17"/>
        <v>0</v>
      </c>
      <c r="N126" s="16"/>
      <c r="O126" s="104"/>
      <c r="Q126" s="281"/>
      <c r="R126" s="281"/>
      <c r="S126" s="281"/>
      <c r="T126" s="281"/>
      <c r="U126" s="281"/>
    </row>
    <row r="127" spans="1:21" x14ac:dyDescent="0.3">
      <c r="A127" s="347" t="str">
        <f t="shared" si="21"/>
        <v>Exclude</v>
      </c>
      <c r="D127" s="425" t="s">
        <v>1290</v>
      </c>
      <c r="E127" s="38" t="s">
        <v>1078</v>
      </c>
      <c r="F127" s="10"/>
      <c r="G127" s="18"/>
      <c r="H127" s="19" t="s">
        <v>2</v>
      </c>
      <c r="I127" s="16">
        <v>6500</v>
      </c>
      <c r="J127" s="16">
        <f t="shared" si="16"/>
        <v>0</v>
      </c>
      <c r="K127" s="304"/>
      <c r="L127" s="298"/>
      <c r="M127" s="298">
        <f t="shared" si="17"/>
        <v>0</v>
      </c>
      <c r="N127" s="16"/>
      <c r="O127" s="104"/>
      <c r="Q127" s="281"/>
      <c r="R127" s="281"/>
      <c r="S127" s="281"/>
      <c r="T127" s="281"/>
      <c r="U127" s="281"/>
    </row>
    <row r="128" spans="1:21" x14ac:dyDescent="0.3">
      <c r="A128" s="347" t="str">
        <f t="shared" si="21"/>
        <v>Exclude</v>
      </c>
      <c r="D128" s="425" t="s">
        <v>1290</v>
      </c>
      <c r="E128" s="40" t="s">
        <v>52</v>
      </c>
      <c r="F128" s="10"/>
      <c r="G128" s="18"/>
      <c r="H128" s="19" t="s">
        <v>39</v>
      </c>
      <c r="I128" s="16">
        <v>20</v>
      </c>
      <c r="J128" s="16">
        <f t="shared" si="16"/>
        <v>0</v>
      </c>
      <c r="K128" s="304"/>
      <c r="L128" s="298"/>
      <c r="M128" s="298">
        <f t="shared" si="17"/>
        <v>0</v>
      </c>
      <c r="N128" s="16"/>
      <c r="O128" s="104"/>
      <c r="Q128" s="281"/>
      <c r="R128" s="281"/>
      <c r="S128" s="281"/>
      <c r="T128" s="281"/>
      <c r="U128" s="281"/>
    </row>
    <row r="129" spans="1:21" x14ac:dyDescent="0.3">
      <c r="A129" s="347" t="str">
        <f t="shared" si="21"/>
        <v>Exclude</v>
      </c>
      <c r="D129" s="425" t="s">
        <v>1290</v>
      </c>
      <c r="E129" s="38" t="s">
        <v>53</v>
      </c>
      <c r="F129" s="10"/>
      <c r="G129" s="18"/>
      <c r="H129" s="19" t="s">
        <v>2</v>
      </c>
      <c r="I129" s="16"/>
      <c r="J129" s="16">
        <f t="shared" si="16"/>
        <v>0</v>
      </c>
      <c r="K129" s="304"/>
      <c r="L129" s="298"/>
      <c r="M129" s="298">
        <f t="shared" si="17"/>
        <v>0</v>
      </c>
      <c r="N129" s="16"/>
      <c r="O129" s="104"/>
      <c r="Q129" s="281"/>
      <c r="R129" s="281"/>
      <c r="S129" s="281"/>
      <c r="T129" s="281"/>
      <c r="U129" s="281"/>
    </row>
    <row r="130" spans="1:21" x14ac:dyDescent="0.3">
      <c r="A130" s="347" t="str">
        <f t="shared" si="21"/>
        <v>Exclude</v>
      </c>
      <c r="D130" s="425" t="s">
        <v>1290</v>
      </c>
      <c r="E130" s="38" t="s">
        <v>1079</v>
      </c>
      <c r="F130" s="10"/>
      <c r="G130" s="18"/>
      <c r="H130" s="19" t="s">
        <v>2</v>
      </c>
      <c r="I130" s="16">
        <v>25000</v>
      </c>
      <c r="J130" s="16">
        <f t="shared" si="16"/>
        <v>0</v>
      </c>
      <c r="K130" s="304"/>
      <c r="L130" s="298"/>
      <c r="M130" s="298">
        <f t="shared" si="17"/>
        <v>0</v>
      </c>
      <c r="N130" s="16"/>
      <c r="O130" s="104"/>
      <c r="Q130" s="281"/>
      <c r="R130" s="281"/>
      <c r="S130" s="281"/>
      <c r="T130" s="281"/>
      <c r="U130" s="281"/>
    </row>
    <row r="131" spans="1:21" x14ac:dyDescent="0.3">
      <c r="A131" s="347" t="str">
        <f t="shared" si="21"/>
        <v>Exclude</v>
      </c>
      <c r="D131" s="425" t="s">
        <v>1290</v>
      </c>
      <c r="E131" s="38" t="s">
        <v>759</v>
      </c>
      <c r="F131" s="10"/>
      <c r="G131" s="18"/>
      <c r="H131" s="19" t="s">
        <v>3</v>
      </c>
      <c r="I131" s="16">
        <v>2</v>
      </c>
      <c r="J131" s="16">
        <f t="shared" si="16"/>
        <v>0</v>
      </c>
      <c r="K131" s="304"/>
      <c r="L131" s="298"/>
      <c r="M131" s="298">
        <f t="shared" si="17"/>
        <v>0</v>
      </c>
      <c r="N131" s="16"/>
      <c r="O131" s="104"/>
      <c r="Q131" s="281"/>
      <c r="R131" s="281"/>
      <c r="S131" s="281"/>
      <c r="T131" s="281"/>
      <c r="U131" s="281"/>
    </row>
    <row r="132" spans="1:21" x14ac:dyDescent="0.3">
      <c r="A132" s="347" t="str">
        <f t="shared" si="21"/>
        <v>Exclude</v>
      </c>
      <c r="D132" s="425" t="s">
        <v>1290</v>
      </c>
      <c r="E132" s="38" t="s">
        <v>349</v>
      </c>
      <c r="F132" s="10"/>
      <c r="G132" s="18"/>
      <c r="H132" s="19" t="s">
        <v>3</v>
      </c>
      <c r="I132" s="16"/>
      <c r="J132" s="16">
        <f t="shared" si="16"/>
        <v>0</v>
      </c>
      <c r="K132" s="304"/>
      <c r="L132" s="298"/>
      <c r="M132" s="298">
        <f t="shared" si="17"/>
        <v>0</v>
      </c>
      <c r="N132" s="16"/>
      <c r="O132" s="104"/>
      <c r="Q132" s="281"/>
      <c r="R132" s="281"/>
      <c r="S132" s="281"/>
      <c r="T132" s="281"/>
      <c r="U132" s="281"/>
    </row>
    <row r="133" spans="1:21" x14ac:dyDescent="0.3">
      <c r="A133" s="347" t="str">
        <f t="shared" si="21"/>
        <v>Exclude</v>
      </c>
      <c r="D133" s="425" t="s">
        <v>1290</v>
      </c>
      <c r="E133" s="38" t="s">
        <v>1080</v>
      </c>
      <c r="F133" s="10"/>
      <c r="G133" s="18"/>
      <c r="H133" s="19" t="s">
        <v>0</v>
      </c>
      <c r="I133" s="16">
        <v>15</v>
      </c>
      <c r="J133" s="16">
        <f t="shared" ref="J133" si="26">I133*G133</f>
        <v>0</v>
      </c>
      <c r="K133" s="304"/>
      <c r="L133" s="298"/>
      <c r="M133" s="298">
        <f t="shared" si="17"/>
        <v>0</v>
      </c>
      <c r="N133" s="16"/>
      <c r="O133" s="104"/>
      <c r="Q133" s="281"/>
      <c r="R133" s="281"/>
      <c r="S133" s="281"/>
      <c r="T133" s="281"/>
      <c r="U133" s="281"/>
    </row>
    <row r="134" spans="1:21" x14ac:dyDescent="0.3">
      <c r="A134" s="347" t="str">
        <f t="shared" si="21"/>
        <v>Exclude</v>
      </c>
      <c r="D134" s="425" t="s">
        <v>1290</v>
      </c>
      <c r="E134" s="38" t="s">
        <v>54</v>
      </c>
      <c r="F134" s="10"/>
      <c r="G134" s="18"/>
      <c r="H134" s="19" t="s">
        <v>0</v>
      </c>
      <c r="I134" s="16"/>
      <c r="J134" s="16">
        <f t="shared" si="16"/>
        <v>0</v>
      </c>
      <c r="K134" s="304"/>
      <c r="L134" s="298"/>
      <c r="M134" s="298">
        <f t="shared" si="17"/>
        <v>0</v>
      </c>
      <c r="N134" s="16"/>
      <c r="O134" s="104"/>
      <c r="Q134" s="281"/>
      <c r="R134" s="281"/>
      <c r="S134" s="281"/>
      <c r="T134" s="281"/>
      <c r="U134" s="281"/>
    </row>
    <row r="135" spans="1:21" x14ac:dyDescent="0.3">
      <c r="A135" s="347" t="str">
        <f t="shared" si="21"/>
        <v>Exclude</v>
      </c>
      <c r="D135" s="425" t="s">
        <v>1290</v>
      </c>
      <c r="E135" s="38" t="s">
        <v>249</v>
      </c>
      <c r="F135" s="10"/>
      <c r="G135" s="18"/>
      <c r="H135" s="19" t="s">
        <v>39</v>
      </c>
      <c r="I135" s="16"/>
      <c r="J135" s="16">
        <f>I135*G135</f>
        <v>0</v>
      </c>
      <c r="K135" s="304"/>
      <c r="L135" s="298"/>
      <c r="M135" s="298">
        <f t="shared" si="17"/>
        <v>0</v>
      </c>
      <c r="N135" s="16"/>
      <c r="O135" s="104"/>
      <c r="Q135" s="281"/>
      <c r="R135" s="281"/>
      <c r="S135" s="281"/>
      <c r="T135" s="281"/>
      <c r="U135" s="281"/>
    </row>
    <row r="136" spans="1:21" x14ac:dyDescent="0.3">
      <c r="A136" s="347" t="str">
        <f t="shared" si="21"/>
        <v>Exclude</v>
      </c>
      <c r="D136" s="425" t="s">
        <v>1290</v>
      </c>
      <c r="E136" s="38" t="s">
        <v>268</v>
      </c>
      <c r="F136" s="10"/>
      <c r="G136" s="18"/>
      <c r="H136" s="19" t="s">
        <v>2</v>
      </c>
      <c r="I136" s="16"/>
      <c r="J136" s="16">
        <f>I136*G136</f>
        <v>0</v>
      </c>
      <c r="K136" s="304"/>
      <c r="L136" s="298"/>
      <c r="M136" s="298">
        <f t="shared" si="17"/>
        <v>0</v>
      </c>
      <c r="N136" s="16"/>
      <c r="O136" s="104"/>
      <c r="Q136" s="281"/>
      <c r="R136" s="281"/>
      <c r="S136" s="281"/>
      <c r="T136" s="281"/>
      <c r="U136" s="281"/>
    </row>
    <row r="137" spans="1:21" x14ac:dyDescent="0.3">
      <c r="A137" s="347" t="str">
        <f t="shared" si="21"/>
        <v>Exclude</v>
      </c>
      <c r="D137" s="425" t="s">
        <v>1290</v>
      </c>
      <c r="E137" s="38" t="s">
        <v>415</v>
      </c>
      <c r="F137" s="10"/>
      <c r="G137" s="18"/>
      <c r="H137" s="19" t="s">
        <v>38</v>
      </c>
      <c r="I137" s="16"/>
      <c r="J137" s="16">
        <f>I137*G137</f>
        <v>0</v>
      </c>
      <c r="K137" s="304"/>
      <c r="L137" s="298"/>
      <c r="M137" s="298">
        <f t="shared" si="17"/>
        <v>0</v>
      </c>
      <c r="N137" s="16"/>
      <c r="O137" s="104"/>
      <c r="Q137" s="281"/>
      <c r="R137" s="281"/>
      <c r="S137" s="281"/>
      <c r="T137" s="281"/>
      <c r="U137" s="281"/>
    </row>
    <row r="138" spans="1:21" x14ac:dyDescent="0.3">
      <c r="A138" s="347" t="str">
        <f t="shared" si="21"/>
        <v>Exclude</v>
      </c>
      <c r="D138" s="427" t="s">
        <v>1290</v>
      </c>
      <c r="E138" s="199" t="s">
        <v>943</v>
      </c>
      <c r="F138" s="200"/>
      <c r="G138" s="201"/>
      <c r="H138" s="202" t="s">
        <v>0</v>
      </c>
      <c r="I138" s="203"/>
      <c r="J138" s="203"/>
      <c r="K138" s="304"/>
      <c r="L138" s="302"/>
      <c r="M138" s="302">
        <f>IF(K138="x","Included in Sub Bid",G138*I138)</f>
        <v>0</v>
      </c>
      <c r="N138" s="16"/>
      <c r="O138" s="104"/>
      <c r="Q138" s="281"/>
      <c r="R138" s="281"/>
      <c r="S138" s="281"/>
      <c r="T138" s="281"/>
      <c r="U138" s="281"/>
    </row>
    <row r="139" spans="1:21" x14ac:dyDescent="0.3">
      <c r="A139" s="347" t="str">
        <f t="shared" si="21"/>
        <v>Exclude</v>
      </c>
      <c r="D139" s="427" t="s">
        <v>1290</v>
      </c>
      <c r="E139" s="199" t="s">
        <v>944</v>
      </c>
      <c r="F139" s="200"/>
      <c r="G139" s="201"/>
      <c r="H139" s="202" t="s">
        <v>0</v>
      </c>
      <c r="I139" s="203"/>
      <c r="J139" s="203"/>
      <c r="K139" s="304"/>
      <c r="L139" s="302"/>
      <c r="M139" s="302">
        <f>IF(K139="x","Included in Sub Bid",G139*I139)</f>
        <v>0</v>
      </c>
      <c r="N139" s="16"/>
      <c r="O139" s="104"/>
      <c r="Q139" s="281"/>
      <c r="R139" s="281"/>
      <c r="S139" s="281"/>
      <c r="T139" s="281"/>
      <c r="U139" s="281"/>
    </row>
    <row r="140" spans="1:21" x14ac:dyDescent="0.3">
      <c r="A140" s="347" t="str">
        <f t="shared" si="21"/>
        <v>Exclude</v>
      </c>
      <c r="D140" s="425"/>
      <c r="E140" s="33"/>
      <c r="F140" s="10"/>
      <c r="G140" s="18"/>
      <c r="H140" s="12"/>
      <c r="I140" s="16"/>
      <c r="J140" s="16"/>
      <c r="K140" s="304"/>
      <c r="L140" s="298"/>
      <c r="M140" s="298"/>
      <c r="N140" s="16"/>
      <c r="O140" s="104"/>
      <c r="Q140" s="281"/>
      <c r="R140" s="281"/>
      <c r="S140" s="281"/>
      <c r="T140" s="281"/>
      <c r="U140" s="281"/>
    </row>
    <row r="141" spans="1:21" x14ac:dyDescent="0.3">
      <c r="A141" s="347" t="str">
        <f t="shared" si="21"/>
        <v>Exclude</v>
      </c>
      <c r="D141" s="425"/>
      <c r="E141" s="39"/>
      <c r="F141" s="10"/>
      <c r="G141" s="18"/>
      <c r="H141" s="19"/>
      <c r="I141" s="16"/>
      <c r="J141" s="16"/>
      <c r="K141" s="436"/>
      <c r="L141" s="298"/>
      <c r="M141" s="298"/>
      <c r="N141" s="16"/>
      <c r="O141" s="104"/>
      <c r="Q141" s="281"/>
      <c r="R141" s="281"/>
      <c r="S141" s="281"/>
      <c r="T141" s="281"/>
      <c r="U141" s="281"/>
    </row>
    <row r="142" spans="1:21" s="55" customFormat="1" ht="17.25" customHeight="1" x14ac:dyDescent="0.3">
      <c r="A142" s="347" t="str">
        <f>IF(J142=0,"Exclude","x")</f>
        <v>Exclude</v>
      </c>
      <c r="D142" s="424" t="s">
        <v>821</v>
      </c>
      <c r="E142" s="69" t="s">
        <v>628</v>
      </c>
      <c r="F142" s="56"/>
      <c r="G142" s="57"/>
      <c r="H142" s="58"/>
      <c r="I142" s="59"/>
      <c r="J142" s="60">
        <f>SUBTOTAL(9,J143:J165)</f>
        <v>0</v>
      </c>
      <c r="K142" s="59">
        <f>IFERROR(J142/$G$6,0)</f>
        <v>0</v>
      </c>
      <c r="L142" s="309"/>
      <c r="M142" s="60"/>
      <c r="N142" s="59">
        <f>SUM(M143:M165)</f>
        <v>0</v>
      </c>
      <c r="O142" s="435">
        <f>IFERROR(N142/$G$6,0)</f>
        <v>0</v>
      </c>
      <c r="Q142" s="284"/>
      <c r="R142" s="284"/>
      <c r="S142" s="284"/>
      <c r="T142" s="284"/>
      <c r="U142" s="284"/>
    </row>
    <row r="143" spans="1:21" x14ac:dyDescent="0.3">
      <c r="A143" s="347" t="str">
        <f t="shared" si="21"/>
        <v>Exclude</v>
      </c>
      <c r="D143" s="426" t="s">
        <v>1292</v>
      </c>
      <c r="E143" s="39" t="s">
        <v>1203</v>
      </c>
      <c r="F143" s="24"/>
      <c r="G143" s="292"/>
      <c r="H143" s="25"/>
      <c r="I143" s="293"/>
      <c r="J143" s="293"/>
      <c r="K143" s="304"/>
      <c r="L143" s="300">
        <v>0</v>
      </c>
      <c r="M143" s="301">
        <f>L143</f>
        <v>0</v>
      </c>
      <c r="N143" s="293"/>
      <c r="O143" s="294"/>
      <c r="Q143" s="282"/>
      <c r="R143" s="281"/>
      <c r="S143" s="283"/>
      <c r="T143" s="283"/>
      <c r="U143" s="283"/>
    </row>
    <row r="144" spans="1:21" x14ac:dyDescent="0.3">
      <c r="A144" s="347" t="str">
        <f t="shared" si="21"/>
        <v>Exclude</v>
      </c>
      <c r="D144" s="425" t="s">
        <v>1292</v>
      </c>
      <c r="E144" s="38" t="s">
        <v>760</v>
      </c>
      <c r="F144" s="10"/>
      <c r="G144" s="18"/>
      <c r="H144" s="19" t="s">
        <v>3</v>
      </c>
      <c r="I144" s="16">
        <v>40</v>
      </c>
      <c r="J144" s="16">
        <f t="shared" ref="J144" si="27">I144*G144</f>
        <v>0</v>
      </c>
      <c r="K144" s="304"/>
      <c r="L144" s="298"/>
      <c r="M144" s="298">
        <f t="shared" ref="M144:M161" si="28">IF(K144="x","Included in Sub Bid",J144)</f>
        <v>0</v>
      </c>
      <c r="N144" s="16"/>
      <c r="O144" s="104"/>
      <c r="Q144" s="281"/>
      <c r="R144" s="281"/>
      <c r="S144" s="281"/>
      <c r="T144" s="281"/>
      <c r="U144" s="281"/>
    </row>
    <row r="145" spans="1:21" x14ac:dyDescent="0.3">
      <c r="A145" s="347" t="str">
        <f t="shared" si="21"/>
        <v>Exclude</v>
      </c>
      <c r="D145" s="425" t="s">
        <v>1292</v>
      </c>
      <c r="E145" s="38" t="s">
        <v>375</v>
      </c>
      <c r="F145" s="10"/>
      <c r="G145" s="18"/>
      <c r="H145" s="19" t="s">
        <v>3</v>
      </c>
      <c r="I145" s="16">
        <v>42.5</v>
      </c>
      <c r="J145" s="16">
        <f>I145*G145</f>
        <v>0</v>
      </c>
      <c r="K145" s="304"/>
      <c r="L145" s="298"/>
      <c r="M145" s="298">
        <f t="shared" si="28"/>
        <v>0</v>
      </c>
      <c r="N145" s="16"/>
      <c r="O145" s="104"/>
      <c r="Q145" s="281"/>
      <c r="R145" s="281"/>
      <c r="S145" s="281"/>
      <c r="T145" s="281"/>
      <c r="U145" s="281"/>
    </row>
    <row r="146" spans="1:21" x14ac:dyDescent="0.3">
      <c r="A146" s="347" t="str">
        <f t="shared" si="21"/>
        <v>Exclude</v>
      </c>
      <c r="D146" s="425" t="s">
        <v>1292</v>
      </c>
      <c r="E146" s="38" t="s">
        <v>359</v>
      </c>
      <c r="F146" s="10"/>
      <c r="G146" s="18"/>
      <c r="H146" s="19" t="s">
        <v>3</v>
      </c>
      <c r="I146" s="16">
        <v>45</v>
      </c>
      <c r="J146" s="16">
        <f>I146*G146</f>
        <v>0</v>
      </c>
      <c r="K146" s="304"/>
      <c r="L146" s="298"/>
      <c r="M146" s="298">
        <f t="shared" si="28"/>
        <v>0</v>
      </c>
      <c r="N146" s="16"/>
      <c r="O146" s="104"/>
      <c r="Q146" s="281"/>
      <c r="R146" s="281"/>
      <c r="S146" s="281"/>
      <c r="T146" s="281"/>
      <c r="U146" s="281"/>
    </row>
    <row r="147" spans="1:21" x14ac:dyDescent="0.3">
      <c r="A147" s="347" t="str">
        <f t="shared" si="21"/>
        <v>Exclude</v>
      </c>
      <c r="D147" s="425" t="s">
        <v>1292</v>
      </c>
      <c r="E147" s="38" t="s">
        <v>360</v>
      </c>
      <c r="F147" s="10"/>
      <c r="G147" s="18"/>
      <c r="H147" s="19" t="s">
        <v>3</v>
      </c>
      <c r="I147" s="16">
        <v>50</v>
      </c>
      <c r="J147" s="16">
        <f>I147*G147</f>
        <v>0</v>
      </c>
      <c r="K147" s="304"/>
      <c r="L147" s="298"/>
      <c r="M147" s="298">
        <f t="shared" si="28"/>
        <v>0</v>
      </c>
      <c r="N147" s="16"/>
      <c r="O147" s="104"/>
      <c r="Q147" s="281"/>
      <c r="R147" s="281"/>
      <c r="S147" s="281"/>
      <c r="T147" s="281"/>
      <c r="U147" s="281"/>
    </row>
    <row r="148" spans="1:21" x14ac:dyDescent="0.3">
      <c r="A148" s="347" t="str">
        <f t="shared" si="21"/>
        <v>Exclude</v>
      </c>
      <c r="D148" s="425" t="s">
        <v>1292</v>
      </c>
      <c r="E148" s="41" t="s">
        <v>355</v>
      </c>
      <c r="F148" s="10"/>
      <c r="G148" s="18"/>
      <c r="H148" s="19" t="s">
        <v>3</v>
      </c>
      <c r="I148" s="16"/>
      <c r="J148" s="16">
        <f>I148*G148</f>
        <v>0</v>
      </c>
      <c r="K148" s="304"/>
      <c r="L148" s="298"/>
      <c r="M148" s="298">
        <f t="shared" si="28"/>
        <v>0</v>
      </c>
      <c r="N148" s="16"/>
      <c r="O148" s="104"/>
      <c r="Q148" s="281"/>
      <c r="R148" s="281"/>
      <c r="S148" s="281"/>
      <c r="T148" s="281"/>
      <c r="U148" s="281"/>
    </row>
    <row r="149" spans="1:21" x14ac:dyDescent="0.3">
      <c r="A149" s="347" t="str">
        <f t="shared" si="21"/>
        <v>Exclude</v>
      </c>
      <c r="D149" s="425" t="s">
        <v>1292</v>
      </c>
      <c r="E149" s="38" t="s">
        <v>26</v>
      </c>
      <c r="F149" s="10"/>
      <c r="G149" s="18"/>
      <c r="H149" s="19" t="s">
        <v>2</v>
      </c>
      <c r="I149" s="16">
        <v>2500</v>
      </c>
      <c r="J149" s="16">
        <f t="shared" ref="J149:J158" si="29">I149*G149</f>
        <v>0</v>
      </c>
      <c r="K149" s="304"/>
      <c r="L149" s="298"/>
      <c r="M149" s="298">
        <f t="shared" si="28"/>
        <v>0</v>
      </c>
      <c r="N149" s="16"/>
      <c r="O149" s="104"/>
      <c r="Q149" s="281"/>
      <c r="R149" s="281"/>
      <c r="S149" s="281"/>
      <c r="T149" s="281"/>
      <c r="U149" s="281"/>
    </row>
    <row r="150" spans="1:21" x14ac:dyDescent="0.3">
      <c r="A150" s="347" t="str">
        <f t="shared" si="21"/>
        <v>Exclude</v>
      </c>
      <c r="D150" s="425" t="s">
        <v>1292</v>
      </c>
      <c r="E150" s="38" t="s">
        <v>148</v>
      </c>
      <c r="F150" s="10"/>
      <c r="G150" s="18"/>
      <c r="H150" s="19" t="s">
        <v>2</v>
      </c>
      <c r="I150" s="16">
        <v>25000</v>
      </c>
      <c r="J150" s="16">
        <f t="shared" si="29"/>
        <v>0</v>
      </c>
      <c r="K150" s="304"/>
      <c r="L150" s="298"/>
      <c r="M150" s="298">
        <f t="shared" si="28"/>
        <v>0</v>
      </c>
      <c r="N150" s="16"/>
      <c r="O150" s="104"/>
      <c r="Q150" s="281"/>
      <c r="R150" s="281"/>
      <c r="S150" s="281"/>
      <c r="T150" s="281"/>
      <c r="U150" s="281"/>
    </row>
    <row r="151" spans="1:21" x14ac:dyDescent="0.3">
      <c r="A151" s="347" t="str">
        <f t="shared" si="21"/>
        <v>Exclude</v>
      </c>
      <c r="D151" s="425" t="s">
        <v>1292</v>
      </c>
      <c r="E151" s="38" t="s">
        <v>55</v>
      </c>
      <c r="F151" s="10"/>
      <c r="G151" s="18"/>
      <c r="H151" s="19" t="s">
        <v>2</v>
      </c>
      <c r="I151" s="16">
        <v>4500</v>
      </c>
      <c r="J151" s="16">
        <f>I151*G151</f>
        <v>0</v>
      </c>
      <c r="K151" s="304"/>
      <c r="L151" s="298"/>
      <c r="M151" s="298">
        <f t="shared" si="28"/>
        <v>0</v>
      </c>
      <c r="N151" s="16"/>
      <c r="O151" s="104"/>
      <c r="Q151" s="281"/>
      <c r="R151" s="281"/>
      <c r="S151" s="281"/>
      <c r="T151" s="281"/>
      <c r="U151" s="281"/>
    </row>
    <row r="152" spans="1:21" x14ac:dyDescent="0.3">
      <c r="A152" s="347" t="str">
        <f t="shared" si="21"/>
        <v>Exclude</v>
      </c>
      <c r="D152" s="425" t="s">
        <v>1292</v>
      </c>
      <c r="E152" s="38" t="s">
        <v>147</v>
      </c>
      <c r="F152" s="10"/>
      <c r="G152" s="18"/>
      <c r="H152" s="19" t="s">
        <v>2</v>
      </c>
      <c r="I152" s="16">
        <v>4500</v>
      </c>
      <c r="J152" s="16">
        <f>I152*G152</f>
        <v>0</v>
      </c>
      <c r="K152" s="304"/>
      <c r="L152" s="298"/>
      <c r="M152" s="298">
        <f t="shared" si="28"/>
        <v>0</v>
      </c>
      <c r="N152" s="16"/>
      <c r="O152" s="104"/>
      <c r="Q152" s="281"/>
      <c r="R152" s="281"/>
      <c r="S152" s="281"/>
      <c r="T152" s="281"/>
      <c r="U152" s="281"/>
    </row>
    <row r="153" spans="1:21" x14ac:dyDescent="0.3">
      <c r="A153" s="347" t="str">
        <f t="shared" si="21"/>
        <v>Exclude</v>
      </c>
      <c r="D153" s="425" t="s">
        <v>1292</v>
      </c>
      <c r="E153" s="38" t="s">
        <v>363</v>
      </c>
      <c r="F153" s="10"/>
      <c r="G153" s="18"/>
      <c r="H153" s="19" t="s">
        <v>2</v>
      </c>
      <c r="I153" s="16"/>
      <c r="J153" s="16">
        <f>I153*G153</f>
        <v>0</v>
      </c>
      <c r="K153" s="304"/>
      <c r="L153" s="298"/>
      <c r="M153" s="298">
        <f t="shared" si="28"/>
        <v>0</v>
      </c>
      <c r="N153" s="16"/>
      <c r="O153" s="104"/>
      <c r="Q153" s="281"/>
      <c r="R153" s="281"/>
      <c r="S153" s="281"/>
      <c r="T153" s="281"/>
      <c r="U153" s="281"/>
    </row>
    <row r="154" spans="1:21" x14ac:dyDescent="0.3">
      <c r="A154" s="347" t="str">
        <f t="shared" si="21"/>
        <v>Exclude</v>
      </c>
      <c r="D154" s="425" t="s">
        <v>1292</v>
      </c>
      <c r="E154" s="40" t="s">
        <v>149</v>
      </c>
      <c r="F154" s="10"/>
      <c r="G154" s="18"/>
      <c r="H154" s="19" t="s">
        <v>2</v>
      </c>
      <c r="I154" s="16">
        <v>5000</v>
      </c>
      <c r="J154" s="16">
        <f>I154*G154</f>
        <v>0</v>
      </c>
      <c r="K154" s="304"/>
      <c r="L154" s="298"/>
      <c r="M154" s="298">
        <f t="shared" si="28"/>
        <v>0</v>
      </c>
      <c r="N154" s="16"/>
      <c r="O154" s="104"/>
      <c r="Q154" s="281"/>
      <c r="R154" s="281"/>
      <c r="S154" s="281"/>
      <c r="T154" s="281"/>
      <c r="U154" s="281"/>
    </row>
    <row r="155" spans="1:21" x14ac:dyDescent="0.3">
      <c r="A155" s="347" t="str">
        <f t="shared" si="21"/>
        <v>Exclude</v>
      </c>
      <c r="D155" s="425" t="s">
        <v>1292</v>
      </c>
      <c r="E155" s="40" t="s">
        <v>761</v>
      </c>
      <c r="F155" s="10"/>
      <c r="G155" s="18"/>
      <c r="H155" s="19" t="s">
        <v>2</v>
      </c>
      <c r="I155" s="16">
        <v>5500</v>
      </c>
      <c r="J155" s="16">
        <f t="shared" ref="J155" si="30">I155*G155</f>
        <v>0</v>
      </c>
      <c r="K155" s="304"/>
      <c r="L155" s="298"/>
      <c r="M155" s="298">
        <f t="shared" si="28"/>
        <v>0</v>
      </c>
      <c r="N155" s="16"/>
      <c r="O155" s="104"/>
      <c r="Q155" s="281"/>
      <c r="R155" s="281"/>
      <c r="S155" s="281"/>
      <c r="T155" s="281"/>
      <c r="U155" s="281"/>
    </row>
    <row r="156" spans="1:21" x14ac:dyDescent="0.3">
      <c r="A156" s="347" t="str">
        <f t="shared" si="21"/>
        <v>Exclude</v>
      </c>
      <c r="D156" s="425" t="s">
        <v>1292</v>
      </c>
      <c r="E156" s="38" t="s">
        <v>505</v>
      </c>
      <c r="F156" s="10"/>
      <c r="G156" s="18"/>
      <c r="H156" s="19" t="s">
        <v>2</v>
      </c>
      <c r="I156" s="16"/>
      <c r="J156" s="16">
        <f t="shared" si="29"/>
        <v>0</v>
      </c>
      <c r="K156" s="304"/>
      <c r="L156" s="298"/>
      <c r="M156" s="298">
        <f t="shared" si="28"/>
        <v>0</v>
      </c>
      <c r="N156" s="16"/>
      <c r="O156" s="104"/>
      <c r="Q156" s="281"/>
      <c r="R156" s="281"/>
      <c r="S156" s="281"/>
      <c r="T156" s="281"/>
      <c r="U156" s="281"/>
    </row>
    <row r="157" spans="1:21" ht="12.75" customHeight="1" x14ac:dyDescent="0.3">
      <c r="A157" s="347" t="str">
        <f t="shared" si="21"/>
        <v>Exclude</v>
      </c>
      <c r="D157" s="425" t="s">
        <v>1292</v>
      </c>
      <c r="E157" s="38" t="s">
        <v>543</v>
      </c>
      <c r="F157" s="10"/>
      <c r="G157" s="18"/>
      <c r="H157" s="19" t="s">
        <v>3</v>
      </c>
      <c r="I157" s="16"/>
      <c r="J157" s="16">
        <f t="shared" si="29"/>
        <v>0</v>
      </c>
      <c r="K157" s="304"/>
      <c r="L157" s="298"/>
      <c r="M157" s="298">
        <f t="shared" si="28"/>
        <v>0</v>
      </c>
      <c r="N157" s="16"/>
      <c r="O157" s="104"/>
      <c r="Q157" s="281"/>
      <c r="R157" s="281"/>
      <c r="S157" s="281"/>
      <c r="T157" s="281"/>
      <c r="U157" s="281"/>
    </row>
    <row r="158" spans="1:21" x14ac:dyDescent="0.3">
      <c r="A158" s="347" t="str">
        <f t="shared" si="21"/>
        <v>Exclude</v>
      </c>
      <c r="D158" s="425" t="s">
        <v>1292</v>
      </c>
      <c r="E158" s="40" t="s">
        <v>56</v>
      </c>
      <c r="F158" s="10"/>
      <c r="G158" s="18"/>
      <c r="H158" s="19" t="s">
        <v>39</v>
      </c>
      <c r="I158" s="16"/>
      <c r="J158" s="16">
        <f t="shared" si="29"/>
        <v>0</v>
      </c>
      <c r="K158" s="304"/>
      <c r="L158" s="298"/>
      <c r="M158" s="298">
        <f t="shared" si="28"/>
        <v>0</v>
      </c>
      <c r="N158" s="16"/>
      <c r="O158" s="104"/>
      <c r="Q158" s="281"/>
      <c r="R158" s="281"/>
      <c r="S158" s="281"/>
      <c r="T158" s="281"/>
      <c r="U158" s="281"/>
    </row>
    <row r="159" spans="1:21" x14ac:dyDescent="0.3">
      <c r="A159" s="347" t="str">
        <f>A158</f>
        <v>Exclude</v>
      </c>
      <c r="D159" s="425" t="s">
        <v>1292</v>
      </c>
      <c r="E159" s="38" t="s">
        <v>349</v>
      </c>
      <c r="F159" s="10"/>
      <c r="G159" s="18"/>
      <c r="H159" s="19" t="s">
        <v>3</v>
      </c>
      <c r="I159" s="16"/>
      <c r="J159" s="16">
        <f t="shared" ref="J159:J160" si="31">I159*G159</f>
        <v>0</v>
      </c>
      <c r="K159" s="304"/>
      <c r="L159" s="298"/>
      <c r="M159" s="298">
        <f t="shared" si="28"/>
        <v>0</v>
      </c>
      <c r="N159" s="16"/>
      <c r="O159" s="104"/>
      <c r="Q159" s="281"/>
      <c r="R159" s="281"/>
      <c r="S159" s="281"/>
      <c r="T159" s="281"/>
      <c r="U159" s="281"/>
    </row>
    <row r="160" spans="1:21" x14ac:dyDescent="0.3">
      <c r="A160" s="347" t="str">
        <f t="shared" si="21"/>
        <v>Exclude</v>
      </c>
      <c r="D160" s="425" t="s">
        <v>1292</v>
      </c>
      <c r="E160" s="38" t="s">
        <v>187</v>
      </c>
      <c r="F160" s="10"/>
      <c r="G160" s="18"/>
      <c r="H160" s="19" t="s">
        <v>2</v>
      </c>
      <c r="I160" s="16"/>
      <c r="J160" s="16">
        <f t="shared" si="31"/>
        <v>0</v>
      </c>
      <c r="K160" s="304"/>
      <c r="L160" s="298"/>
      <c r="M160" s="298">
        <f t="shared" si="28"/>
        <v>0</v>
      </c>
      <c r="N160" s="16"/>
      <c r="O160" s="104"/>
      <c r="Q160" s="281"/>
      <c r="R160" s="281"/>
      <c r="S160" s="281"/>
      <c r="T160" s="281"/>
      <c r="U160" s="281"/>
    </row>
    <row r="161" spans="1:21" x14ac:dyDescent="0.3">
      <c r="A161" s="347" t="str">
        <f t="shared" si="21"/>
        <v>Exclude</v>
      </c>
      <c r="D161" s="425" t="s">
        <v>1292</v>
      </c>
      <c r="E161" s="38" t="s">
        <v>415</v>
      </c>
      <c r="F161" s="10"/>
      <c r="G161" s="18"/>
      <c r="H161" s="19" t="s">
        <v>38</v>
      </c>
      <c r="I161" s="16"/>
      <c r="J161" s="16">
        <f>I161*G161</f>
        <v>0</v>
      </c>
      <c r="K161" s="304"/>
      <c r="L161" s="298"/>
      <c r="M161" s="298">
        <f t="shared" si="28"/>
        <v>0</v>
      </c>
      <c r="N161" s="16"/>
      <c r="O161" s="104"/>
      <c r="Q161" s="281"/>
      <c r="R161" s="281"/>
      <c r="S161" s="281"/>
      <c r="T161" s="281"/>
      <c r="U161" s="281"/>
    </row>
    <row r="162" spans="1:21" x14ac:dyDescent="0.3">
      <c r="A162" s="347" t="str">
        <f t="shared" si="21"/>
        <v>Exclude</v>
      </c>
      <c r="D162" s="427" t="s">
        <v>1292</v>
      </c>
      <c r="E162" s="199" t="s">
        <v>943</v>
      </c>
      <c r="F162" s="200"/>
      <c r="G162" s="201"/>
      <c r="H162" s="202" t="s">
        <v>0</v>
      </c>
      <c r="I162" s="203"/>
      <c r="J162" s="203"/>
      <c r="K162" s="304"/>
      <c r="L162" s="302"/>
      <c r="M162" s="302">
        <f>IF(K162="x","Included in Sub Bid",G162*I162)</f>
        <v>0</v>
      </c>
      <c r="N162" s="16"/>
      <c r="O162" s="104"/>
      <c r="Q162" s="281"/>
      <c r="R162" s="281"/>
      <c r="S162" s="281"/>
      <c r="T162" s="281"/>
      <c r="U162" s="281"/>
    </row>
    <row r="163" spans="1:21" x14ac:dyDescent="0.3">
      <c r="A163" s="347" t="str">
        <f t="shared" si="21"/>
        <v>Exclude</v>
      </c>
      <c r="D163" s="427" t="s">
        <v>1292</v>
      </c>
      <c r="E163" s="199" t="s">
        <v>944</v>
      </c>
      <c r="F163" s="200"/>
      <c r="G163" s="201"/>
      <c r="H163" s="202" t="s">
        <v>0</v>
      </c>
      <c r="I163" s="203"/>
      <c r="J163" s="203"/>
      <c r="K163" s="304"/>
      <c r="L163" s="302"/>
      <c r="M163" s="302">
        <f>IF(K163="x","Included in Sub Bid",G163*I163)</f>
        <v>0</v>
      </c>
      <c r="N163" s="16"/>
      <c r="O163" s="104"/>
      <c r="Q163" s="281"/>
      <c r="R163" s="281"/>
      <c r="S163" s="281"/>
      <c r="T163" s="281"/>
      <c r="U163" s="281"/>
    </row>
    <row r="164" spans="1:21" x14ac:dyDescent="0.3">
      <c r="A164" s="347" t="str">
        <f t="shared" si="21"/>
        <v>Exclude</v>
      </c>
      <c r="D164" s="425"/>
      <c r="E164" s="42"/>
      <c r="F164" s="10"/>
      <c r="G164" s="18"/>
      <c r="H164" s="12"/>
      <c r="I164" s="16"/>
      <c r="J164" s="16"/>
      <c r="K164" s="304"/>
      <c r="L164" s="298"/>
      <c r="M164" s="298"/>
      <c r="N164" s="16"/>
      <c r="O164" s="104"/>
      <c r="Q164" s="281"/>
      <c r="R164" s="281"/>
      <c r="S164" s="281"/>
      <c r="T164" s="281"/>
      <c r="U164" s="281"/>
    </row>
    <row r="165" spans="1:21" x14ac:dyDescent="0.3">
      <c r="A165" s="347" t="str">
        <f t="shared" si="21"/>
        <v>Exclude</v>
      </c>
      <c r="D165" s="425"/>
      <c r="E165" s="43"/>
      <c r="F165" s="10"/>
      <c r="G165" s="18"/>
      <c r="H165" s="12"/>
      <c r="I165" s="16"/>
      <c r="J165" s="16"/>
      <c r="K165" s="436"/>
      <c r="L165" s="298"/>
      <c r="M165" s="298"/>
      <c r="N165" s="16"/>
      <c r="O165" s="104"/>
      <c r="Q165" s="281"/>
      <c r="R165" s="281"/>
      <c r="S165" s="281"/>
      <c r="T165" s="281"/>
      <c r="U165" s="281"/>
    </row>
    <row r="166" spans="1:21" s="55" customFormat="1" ht="17.25" customHeight="1" x14ac:dyDescent="0.3">
      <c r="A166" s="347" t="str">
        <f>IF(J166=0,"Exclude","x")</f>
        <v>Exclude</v>
      </c>
      <c r="D166" s="424" t="s">
        <v>821</v>
      </c>
      <c r="E166" s="69" t="s">
        <v>629</v>
      </c>
      <c r="F166" s="56"/>
      <c r="G166" s="57"/>
      <c r="H166" s="58"/>
      <c r="I166" s="59"/>
      <c r="J166" s="60">
        <f>SUBTOTAL(9,J167:J177)</f>
        <v>0</v>
      </c>
      <c r="K166" s="59">
        <f>IFERROR(J166/$G$6,0)</f>
        <v>0</v>
      </c>
      <c r="L166" s="309"/>
      <c r="M166" s="60"/>
      <c r="N166" s="59">
        <f>SUM(M167:M177)</f>
        <v>0</v>
      </c>
      <c r="O166" s="435">
        <f>IFERROR(N166/$G$6,0)</f>
        <v>0</v>
      </c>
      <c r="Q166" s="284"/>
      <c r="R166" s="284"/>
      <c r="S166" s="284"/>
      <c r="T166" s="284"/>
      <c r="U166" s="284"/>
    </row>
    <row r="167" spans="1:21" x14ac:dyDescent="0.3">
      <c r="A167" s="347" t="str">
        <f t="shared" si="21"/>
        <v>Exclude</v>
      </c>
      <c r="D167" s="426" t="s">
        <v>1292</v>
      </c>
      <c r="E167" s="39" t="s">
        <v>1203</v>
      </c>
      <c r="F167" s="24"/>
      <c r="G167" s="292"/>
      <c r="H167" s="25"/>
      <c r="I167" s="293"/>
      <c r="J167" s="293"/>
      <c r="K167" s="301"/>
      <c r="L167" s="300">
        <v>0</v>
      </c>
      <c r="M167" s="301">
        <f>L167</f>
        <v>0</v>
      </c>
      <c r="N167" s="293"/>
      <c r="O167" s="294"/>
      <c r="Q167" s="282"/>
      <c r="R167" s="281"/>
      <c r="S167" s="283"/>
      <c r="T167" s="283"/>
      <c r="U167" s="283"/>
    </row>
    <row r="168" spans="1:21" x14ac:dyDescent="0.3">
      <c r="A168" s="347" t="str">
        <f t="shared" ref="A168:A177" si="32">A167</f>
        <v>Exclude</v>
      </c>
      <c r="D168" s="425" t="s">
        <v>1292</v>
      </c>
      <c r="E168" s="38" t="s">
        <v>579</v>
      </c>
      <c r="F168" s="10"/>
      <c r="G168" s="18"/>
      <c r="H168" s="19" t="s">
        <v>3</v>
      </c>
      <c r="I168" s="16">
        <v>35</v>
      </c>
      <c r="J168" s="16">
        <f t="shared" ref="J168:J171" si="33">I168*G168</f>
        <v>0</v>
      </c>
      <c r="K168" s="304"/>
      <c r="L168" s="298"/>
      <c r="M168" s="298">
        <f t="shared" ref="M168:M173" si="34">IF(K168="x","Included in Sub Bid",J168)</f>
        <v>0</v>
      </c>
      <c r="N168" s="16"/>
      <c r="O168" s="104"/>
      <c r="Q168" s="281"/>
      <c r="R168" s="281"/>
      <c r="S168" s="281"/>
      <c r="T168" s="281"/>
      <c r="U168" s="281"/>
    </row>
    <row r="169" spans="1:21" x14ac:dyDescent="0.3">
      <c r="A169" s="347" t="str">
        <f t="shared" si="32"/>
        <v>Exclude</v>
      </c>
      <c r="D169" s="425" t="s">
        <v>1292</v>
      </c>
      <c r="E169" s="38" t="s">
        <v>762</v>
      </c>
      <c r="F169" s="10"/>
      <c r="G169" s="18"/>
      <c r="H169" s="19" t="s">
        <v>3</v>
      </c>
      <c r="I169" s="16">
        <v>40</v>
      </c>
      <c r="J169" s="16">
        <f t="shared" ref="J169" si="35">I169*G169</f>
        <v>0</v>
      </c>
      <c r="K169" s="304"/>
      <c r="L169" s="298"/>
      <c r="M169" s="298">
        <f t="shared" si="34"/>
        <v>0</v>
      </c>
      <c r="N169" s="16"/>
      <c r="O169" s="104"/>
      <c r="Q169" s="281"/>
      <c r="R169" s="281"/>
      <c r="S169" s="281"/>
      <c r="T169" s="281"/>
      <c r="U169" s="281"/>
    </row>
    <row r="170" spans="1:21" x14ac:dyDescent="0.3">
      <c r="A170" s="347" t="str">
        <f t="shared" si="32"/>
        <v>Exclude</v>
      </c>
      <c r="D170" s="425" t="s">
        <v>1292</v>
      </c>
      <c r="E170" s="38" t="s">
        <v>1082</v>
      </c>
      <c r="F170" s="10"/>
      <c r="G170" s="18"/>
      <c r="H170" s="19" t="s">
        <v>2</v>
      </c>
      <c r="I170" s="16">
        <v>3500</v>
      </c>
      <c r="J170" s="16">
        <f t="shared" si="33"/>
        <v>0</v>
      </c>
      <c r="K170" s="304"/>
      <c r="L170" s="298"/>
      <c r="M170" s="298">
        <f t="shared" si="34"/>
        <v>0</v>
      </c>
      <c r="N170" s="16"/>
      <c r="O170" s="104"/>
      <c r="Q170" s="281"/>
      <c r="R170" s="281"/>
      <c r="S170" s="281"/>
      <c r="T170" s="281"/>
      <c r="U170" s="281"/>
    </row>
    <row r="171" spans="1:21" x14ac:dyDescent="0.3">
      <c r="A171" s="347" t="str">
        <f t="shared" si="32"/>
        <v>Exclude</v>
      </c>
      <c r="D171" s="425" t="s">
        <v>1292</v>
      </c>
      <c r="E171" s="38" t="s">
        <v>1083</v>
      </c>
      <c r="F171" s="10"/>
      <c r="G171" s="18"/>
      <c r="H171" s="19" t="s">
        <v>2</v>
      </c>
      <c r="I171" s="16">
        <v>3500</v>
      </c>
      <c r="J171" s="16">
        <f t="shared" si="33"/>
        <v>0</v>
      </c>
      <c r="K171" s="304"/>
      <c r="L171" s="298"/>
      <c r="M171" s="298">
        <f t="shared" si="34"/>
        <v>0</v>
      </c>
      <c r="N171" s="16"/>
      <c r="O171" s="104"/>
      <c r="Q171" s="281"/>
      <c r="R171" s="281"/>
      <c r="S171" s="281"/>
      <c r="T171" s="281"/>
      <c r="U171" s="281"/>
    </row>
    <row r="172" spans="1:21" x14ac:dyDescent="0.3">
      <c r="A172" s="347" t="str">
        <f t="shared" si="32"/>
        <v>Exclude</v>
      </c>
      <c r="D172" s="425" t="s">
        <v>1292</v>
      </c>
      <c r="E172" s="38" t="s">
        <v>27</v>
      </c>
      <c r="F172" s="10"/>
      <c r="G172" s="18"/>
      <c r="H172" s="19" t="s">
        <v>2</v>
      </c>
      <c r="I172" s="16">
        <v>2500</v>
      </c>
      <c r="J172" s="16">
        <f>I172*G172</f>
        <v>0</v>
      </c>
      <c r="K172" s="304"/>
      <c r="L172" s="298"/>
      <c r="M172" s="298">
        <f t="shared" si="34"/>
        <v>0</v>
      </c>
      <c r="N172" s="16"/>
      <c r="O172" s="104"/>
      <c r="Q172" s="281"/>
      <c r="R172" s="281"/>
      <c r="S172" s="281"/>
      <c r="T172" s="281"/>
      <c r="U172" s="281"/>
    </row>
    <row r="173" spans="1:21" x14ac:dyDescent="0.3">
      <c r="A173" s="347" t="str">
        <f t="shared" si="32"/>
        <v>Exclude</v>
      </c>
      <c r="D173" s="425" t="s">
        <v>1292</v>
      </c>
      <c r="E173" s="38" t="s">
        <v>415</v>
      </c>
      <c r="F173" s="10"/>
      <c r="G173" s="18"/>
      <c r="H173" s="19" t="s">
        <v>38</v>
      </c>
      <c r="I173" s="16"/>
      <c r="J173" s="16">
        <f>I173*G173</f>
        <v>0</v>
      </c>
      <c r="K173" s="304"/>
      <c r="L173" s="298"/>
      <c r="M173" s="298">
        <f t="shared" si="34"/>
        <v>0</v>
      </c>
      <c r="N173" s="16"/>
      <c r="O173" s="104"/>
      <c r="Q173" s="281"/>
      <c r="R173" s="281"/>
      <c r="S173" s="281"/>
      <c r="T173" s="281"/>
      <c r="U173" s="281"/>
    </row>
    <row r="174" spans="1:21" x14ac:dyDescent="0.3">
      <c r="A174" s="347" t="str">
        <f t="shared" si="32"/>
        <v>Exclude</v>
      </c>
      <c r="D174" s="427" t="s">
        <v>1292</v>
      </c>
      <c r="E174" s="199" t="s">
        <v>943</v>
      </c>
      <c r="F174" s="200"/>
      <c r="G174" s="201"/>
      <c r="H174" s="202" t="s">
        <v>0</v>
      </c>
      <c r="I174" s="203"/>
      <c r="J174" s="203"/>
      <c r="K174" s="304"/>
      <c r="L174" s="302"/>
      <c r="M174" s="302">
        <f>IF(K174="x","Included in Sub Bid",G174*I174)</f>
        <v>0</v>
      </c>
      <c r="N174" s="16"/>
      <c r="O174" s="104"/>
      <c r="Q174" s="281"/>
      <c r="R174" s="281"/>
      <c r="S174" s="281"/>
      <c r="T174" s="281"/>
      <c r="U174" s="281"/>
    </row>
    <row r="175" spans="1:21" x14ac:dyDescent="0.3">
      <c r="A175" s="347" t="str">
        <f t="shared" si="32"/>
        <v>Exclude</v>
      </c>
      <c r="D175" s="427" t="s">
        <v>1292</v>
      </c>
      <c r="E175" s="199" t="s">
        <v>944</v>
      </c>
      <c r="F175" s="200"/>
      <c r="G175" s="201"/>
      <c r="H175" s="202" t="s">
        <v>0</v>
      </c>
      <c r="I175" s="203"/>
      <c r="J175" s="203"/>
      <c r="K175" s="304"/>
      <c r="L175" s="302"/>
      <c r="M175" s="302">
        <f>IF(K175="x","Included in Sub Bid",G175*I175)</f>
        <v>0</v>
      </c>
      <c r="N175" s="16"/>
      <c r="O175" s="104"/>
      <c r="Q175" s="281"/>
      <c r="R175" s="281"/>
      <c r="S175" s="281"/>
      <c r="T175" s="281"/>
      <c r="U175" s="281"/>
    </row>
    <row r="176" spans="1:21" x14ac:dyDescent="0.3">
      <c r="A176" s="347" t="str">
        <f t="shared" si="32"/>
        <v>Exclude</v>
      </c>
      <c r="D176" s="425"/>
      <c r="E176" s="38"/>
      <c r="F176" s="10"/>
      <c r="G176" s="18"/>
      <c r="H176" s="19"/>
      <c r="I176" s="16"/>
      <c r="J176" s="16"/>
      <c r="K176" s="304"/>
      <c r="L176" s="298"/>
      <c r="M176" s="298"/>
      <c r="N176" s="16"/>
      <c r="O176" s="104"/>
      <c r="Q176" s="281"/>
      <c r="R176" s="281"/>
      <c r="S176" s="281"/>
      <c r="T176" s="281"/>
      <c r="U176" s="281"/>
    </row>
    <row r="177" spans="1:21" x14ac:dyDescent="0.3">
      <c r="A177" s="347" t="str">
        <f t="shared" si="32"/>
        <v>Exclude</v>
      </c>
      <c r="D177" s="425"/>
      <c r="E177" s="43"/>
      <c r="F177" s="10"/>
      <c r="G177" s="18"/>
      <c r="H177" s="12"/>
      <c r="I177" s="16"/>
      <c r="J177" s="16"/>
      <c r="K177" s="436"/>
      <c r="L177" s="298"/>
      <c r="M177" s="298"/>
      <c r="N177" s="16"/>
      <c r="O177" s="104"/>
      <c r="Q177" s="281"/>
      <c r="R177" s="281"/>
      <c r="S177" s="281"/>
      <c r="T177" s="281"/>
      <c r="U177" s="281"/>
    </row>
    <row r="178" spans="1:21" s="55" customFormat="1" ht="17.25" customHeight="1" x14ac:dyDescent="0.3">
      <c r="A178" s="347" t="str">
        <f>IF(J178=0,"Exclude","x")</f>
        <v>Exclude</v>
      </c>
      <c r="D178" s="424" t="s">
        <v>821</v>
      </c>
      <c r="E178" s="69" t="s">
        <v>630</v>
      </c>
      <c r="F178" s="56"/>
      <c r="G178" s="57"/>
      <c r="H178" s="58"/>
      <c r="I178" s="59"/>
      <c r="J178" s="60">
        <f>SUBTOTAL(9,J179:J199)</f>
        <v>0</v>
      </c>
      <c r="K178" s="59">
        <f>IFERROR(J178/$G$6,0)</f>
        <v>0</v>
      </c>
      <c r="L178" s="309"/>
      <c r="M178" s="60"/>
      <c r="N178" s="59">
        <f>SUM(M179:M199)</f>
        <v>0</v>
      </c>
      <c r="O178" s="435">
        <f>IFERROR(N178/$G$6,0)</f>
        <v>0</v>
      </c>
      <c r="Q178" s="284"/>
      <c r="R178" s="284"/>
      <c r="S178" s="284"/>
      <c r="T178" s="284"/>
      <c r="U178" s="284"/>
    </row>
    <row r="179" spans="1:21" x14ac:dyDescent="0.3">
      <c r="A179" s="347" t="str">
        <f t="shared" ref="A179:A241" si="36">A178</f>
        <v>Exclude</v>
      </c>
      <c r="D179" s="426" t="s">
        <v>1293</v>
      </c>
      <c r="E179" s="39" t="s">
        <v>1203</v>
      </c>
      <c r="F179" s="24"/>
      <c r="G179" s="292"/>
      <c r="H179" s="25"/>
      <c r="I179" s="293"/>
      <c r="J179" s="293"/>
      <c r="K179" s="301"/>
      <c r="L179" s="300">
        <v>0</v>
      </c>
      <c r="M179" s="301">
        <f>L179</f>
        <v>0</v>
      </c>
      <c r="N179" s="293"/>
      <c r="O179" s="294"/>
      <c r="Q179" s="282"/>
      <c r="R179" s="281"/>
      <c r="S179" s="283"/>
      <c r="T179" s="283"/>
      <c r="U179" s="283"/>
    </row>
    <row r="180" spans="1:21" x14ac:dyDescent="0.3">
      <c r="A180" s="347" t="str">
        <f t="shared" si="36"/>
        <v>Exclude</v>
      </c>
      <c r="D180" s="425" t="s">
        <v>1293</v>
      </c>
      <c r="E180" s="38" t="s">
        <v>1081</v>
      </c>
      <c r="F180" s="10"/>
      <c r="G180" s="18"/>
      <c r="H180" s="17" t="s">
        <v>3</v>
      </c>
      <c r="I180" s="16">
        <v>30</v>
      </c>
      <c r="J180" s="16">
        <f t="shared" ref="J180" si="37">I180*G180</f>
        <v>0</v>
      </c>
      <c r="K180" s="304"/>
      <c r="L180" s="298"/>
      <c r="M180" s="298">
        <f t="shared" ref="M180:M195" si="38">IF(K180="x","Included in Sub Bid",J180)</f>
        <v>0</v>
      </c>
      <c r="N180" s="16"/>
      <c r="O180" s="104"/>
      <c r="Q180" s="281"/>
      <c r="R180" s="281"/>
      <c r="S180" s="281"/>
      <c r="T180" s="281"/>
      <c r="U180" s="281"/>
    </row>
    <row r="181" spans="1:21" x14ac:dyDescent="0.3">
      <c r="A181" s="347" t="str">
        <f t="shared" si="36"/>
        <v>Exclude</v>
      </c>
      <c r="D181" s="425" t="s">
        <v>1293</v>
      </c>
      <c r="E181" s="38" t="s">
        <v>57</v>
      </c>
      <c r="F181" s="10"/>
      <c r="G181" s="18"/>
      <c r="H181" s="17" t="s">
        <v>3</v>
      </c>
      <c r="I181" s="16">
        <v>35</v>
      </c>
      <c r="J181" s="16">
        <f t="shared" ref="J181:J194" si="39">I181*G181</f>
        <v>0</v>
      </c>
      <c r="K181" s="304"/>
      <c r="L181" s="298"/>
      <c r="M181" s="298">
        <f t="shared" si="38"/>
        <v>0</v>
      </c>
      <c r="N181" s="16"/>
      <c r="O181" s="104"/>
      <c r="Q181" s="281"/>
      <c r="R181" s="281"/>
      <c r="S181" s="281"/>
      <c r="T181" s="281"/>
      <c r="U181" s="281"/>
    </row>
    <row r="182" spans="1:21" x14ac:dyDescent="0.3">
      <c r="A182" s="347" t="str">
        <f t="shared" si="36"/>
        <v>Exclude</v>
      </c>
      <c r="D182" s="425" t="s">
        <v>1293</v>
      </c>
      <c r="E182" s="38" t="s">
        <v>58</v>
      </c>
      <c r="F182" s="10"/>
      <c r="G182" s="18"/>
      <c r="H182" s="19" t="s">
        <v>3</v>
      </c>
      <c r="I182" s="16">
        <v>40</v>
      </c>
      <c r="J182" s="16">
        <f t="shared" si="39"/>
        <v>0</v>
      </c>
      <c r="K182" s="304"/>
      <c r="L182" s="298"/>
      <c r="M182" s="298">
        <f t="shared" si="38"/>
        <v>0</v>
      </c>
      <c r="N182" s="16"/>
      <c r="O182" s="104"/>
      <c r="Q182" s="281"/>
      <c r="R182" s="281"/>
      <c r="S182" s="281"/>
      <c r="T182" s="281"/>
      <c r="U182" s="281"/>
    </row>
    <row r="183" spans="1:21" ht="12.75" customHeight="1" x14ac:dyDescent="0.3">
      <c r="A183" s="347" t="str">
        <f t="shared" si="36"/>
        <v>Exclude</v>
      </c>
      <c r="D183" s="425" t="s">
        <v>1293</v>
      </c>
      <c r="E183" s="38" t="s">
        <v>506</v>
      </c>
      <c r="F183" s="10"/>
      <c r="G183" s="18"/>
      <c r="H183" s="17" t="s">
        <v>3</v>
      </c>
      <c r="I183" s="16"/>
      <c r="J183" s="16">
        <f t="shared" ref="J183:J184" si="40">I183*G183</f>
        <v>0</v>
      </c>
      <c r="K183" s="304"/>
      <c r="L183" s="298"/>
      <c r="M183" s="298">
        <f t="shared" si="38"/>
        <v>0</v>
      </c>
      <c r="N183" s="16"/>
      <c r="O183" s="104"/>
      <c r="Q183" s="281"/>
      <c r="R183" s="281"/>
      <c r="S183" s="281"/>
      <c r="T183" s="281"/>
      <c r="U183" s="281"/>
    </row>
    <row r="184" spans="1:21" x14ac:dyDescent="0.3">
      <c r="A184" s="347" t="str">
        <f t="shared" si="36"/>
        <v>Exclude</v>
      </c>
      <c r="D184" s="425" t="s">
        <v>1293</v>
      </c>
      <c r="E184" s="38" t="s">
        <v>507</v>
      </c>
      <c r="F184" s="10"/>
      <c r="G184" s="18"/>
      <c r="H184" s="19" t="s">
        <v>3</v>
      </c>
      <c r="I184" s="16"/>
      <c r="J184" s="16">
        <f t="shared" si="40"/>
        <v>0</v>
      </c>
      <c r="K184" s="304"/>
      <c r="L184" s="298"/>
      <c r="M184" s="298">
        <f t="shared" si="38"/>
        <v>0</v>
      </c>
      <c r="N184" s="16"/>
      <c r="O184" s="104"/>
      <c r="Q184" s="281"/>
      <c r="R184" s="281"/>
      <c r="S184" s="281"/>
      <c r="T184" s="281"/>
      <c r="U184" s="281"/>
    </row>
    <row r="185" spans="1:21" x14ac:dyDescent="0.3">
      <c r="A185" s="347" t="str">
        <f t="shared" si="36"/>
        <v>Exclude</v>
      </c>
      <c r="D185" s="425" t="s">
        <v>1293</v>
      </c>
      <c r="E185" s="38" t="s">
        <v>759</v>
      </c>
      <c r="F185" s="10"/>
      <c r="G185" s="18"/>
      <c r="H185" s="19" t="s">
        <v>3</v>
      </c>
      <c r="I185" s="16">
        <v>2</v>
      </c>
      <c r="J185" s="16">
        <f t="shared" ref="J185" si="41">I185*G185</f>
        <v>0</v>
      </c>
      <c r="K185" s="304"/>
      <c r="L185" s="298"/>
      <c r="M185" s="298">
        <f t="shared" si="38"/>
        <v>0</v>
      </c>
      <c r="N185" s="16"/>
      <c r="O185" s="104"/>
      <c r="Q185" s="281"/>
      <c r="R185" s="281"/>
      <c r="S185" s="281"/>
      <c r="T185" s="281"/>
      <c r="U185" s="281"/>
    </row>
    <row r="186" spans="1:21" x14ac:dyDescent="0.3">
      <c r="A186" s="347" t="str">
        <f t="shared" si="36"/>
        <v>Exclude</v>
      </c>
      <c r="D186" s="425" t="s">
        <v>1293</v>
      </c>
      <c r="E186" s="38" t="s">
        <v>248</v>
      </c>
      <c r="F186" s="10"/>
      <c r="G186" s="18"/>
      <c r="H186" s="19" t="s">
        <v>2</v>
      </c>
      <c r="I186" s="16">
        <v>4500</v>
      </c>
      <c r="J186" s="16">
        <f t="shared" si="39"/>
        <v>0</v>
      </c>
      <c r="K186" s="304"/>
      <c r="L186" s="298"/>
      <c r="M186" s="298">
        <f t="shared" si="38"/>
        <v>0</v>
      </c>
      <c r="N186" s="16"/>
      <c r="O186" s="104"/>
      <c r="Q186" s="281"/>
      <c r="R186" s="281"/>
      <c r="S186" s="281"/>
      <c r="T186" s="281"/>
      <c r="U186" s="281"/>
    </row>
    <row r="187" spans="1:21" x14ac:dyDescent="0.3">
      <c r="A187" s="347" t="str">
        <f t="shared" si="36"/>
        <v>Exclude</v>
      </c>
      <c r="D187" s="425" t="s">
        <v>1293</v>
      </c>
      <c r="E187" s="38" t="s">
        <v>34</v>
      </c>
      <c r="F187" s="10"/>
      <c r="G187" s="18"/>
      <c r="H187" s="19" t="s">
        <v>2</v>
      </c>
      <c r="I187" s="16">
        <v>2500</v>
      </c>
      <c r="J187" s="16">
        <f t="shared" si="39"/>
        <v>0</v>
      </c>
      <c r="K187" s="304"/>
      <c r="L187" s="298"/>
      <c r="M187" s="298">
        <f t="shared" si="38"/>
        <v>0</v>
      </c>
      <c r="N187" s="16"/>
      <c r="O187" s="104"/>
      <c r="Q187" s="281"/>
      <c r="R187" s="281"/>
      <c r="S187" s="281"/>
      <c r="T187" s="281"/>
      <c r="U187" s="281"/>
    </row>
    <row r="188" spans="1:21" x14ac:dyDescent="0.3">
      <c r="A188" s="347" t="str">
        <f t="shared" si="36"/>
        <v>Exclude</v>
      </c>
      <c r="D188" s="425" t="s">
        <v>1293</v>
      </c>
      <c r="E188" s="38" t="s">
        <v>27</v>
      </c>
      <c r="F188" s="10"/>
      <c r="G188" s="18"/>
      <c r="H188" s="19" t="s">
        <v>2</v>
      </c>
      <c r="I188" s="16">
        <v>2500</v>
      </c>
      <c r="J188" s="16">
        <f>I188*G188</f>
        <v>0</v>
      </c>
      <c r="K188" s="304"/>
      <c r="L188" s="298"/>
      <c r="M188" s="298">
        <f t="shared" si="38"/>
        <v>0</v>
      </c>
      <c r="N188" s="16"/>
      <c r="O188" s="104"/>
      <c r="Q188" s="281"/>
      <c r="R188" s="281"/>
      <c r="S188" s="281"/>
      <c r="T188" s="281"/>
      <c r="U188" s="281"/>
    </row>
    <row r="189" spans="1:21" x14ac:dyDescent="0.3">
      <c r="A189" s="347" t="str">
        <f t="shared" si="36"/>
        <v>Exclude</v>
      </c>
      <c r="D189" s="425" t="s">
        <v>1293</v>
      </c>
      <c r="E189" s="38" t="s">
        <v>349</v>
      </c>
      <c r="F189" s="10"/>
      <c r="G189" s="18"/>
      <c r="H189" s="19" t="s">
        <v>3</v>
      </c>
      <c r="I189" s="16"/>
      <c r="J189" s="16">
        <f t="shared" si="39"/>
        <v>0</v>
      </c>
      <c r="K189" s="304"/>
      <c r="L189" s="298"/>
      <c r="M189" s="298">
        <f t="shared" si="38"/>
        <v>0</v>
      </c>
      <c r="N189" s="16"/>
      <c r="O189" s="104"/>
      <c r="Q189" s="281"/>
      <c r="R189" s="281"/>
      <c r="S189" s="281"/>
      <c r="T189" s="281"/>
      <c r="U189" s="281"/>
    </row>
    <row r="190" spans="1:21" x14ac:dyDescent="0.3">
      <c r="A190" s="347" t="str">
        <f>A189</f>
        <v>Exclude</v>
      </c>
      <c r="D190" s="425" t="s">
        <v>1293</v>
      </c>
      <c r="E190" s="38" t="s">
        <v>543</v>
      </c>
      <c r="F190" s="10"/>
      <c r="G190" s="18"/>
      <c r="H190" s="19" t="s">
        <v>3</v>
      </c>
      <c r="I190" s="16"/>
      <c r="J190" s="16">
        <f>I190*G190</f>
        <v>0</v>
      </c>
      <c r="K190" s="304"/>
      <c r="L190" s="298"/>
      <c r="M190" s="298">
        <f t="shared" si="38"/>
        <v>0</v>
      </c>
      <c r="N190" s="16"/>
      <c r="O190" s="104"/>
      <c r="Q190" s="281"/>
      <c r="R190" s="281"/>
      <c r="S190" s="281"/>
      <c r="T190" s="281"/>
      <c r="U190" s="281"/>
    </row>
    <row r="191" spans="1:21" x14ac:dyDescent="0.3">
      <c r="A191" s="347" t="str">
        <f t="shared" si="36"/>
        <v>Exclude</v>
      </c>
      <c r="D191" s="425" t="s">
        <v>1293</v>
      </c>
      <c r="E191" s="40" t="s">
        <v>56</v>
      </c>
      <c r="F191" s="10"/>
      <c r="G191" s="18"/>
      <c r="H191" s="19" t="s">
        <v>39</v>
      </c>
      <c r="I191" s="16"/>
      <c r="J191" s="16">
        <f>I191*G191</f>
        <v>0</v>
      </c>
      <c r="K191" s="304"/>
      <c r="L191" s="298"/>
      <c r="M191" s="298">
        <f t="shared" si="38"/>
        <v>0</v>
      </c>
      <c r="N191" s="16"/>
      <c r="O191" s="104"/>
      <c r="Q191" s="281"/>
      <c r="R191" s="281"/>
      <c r="S191" s="281"/>
      <c r="T191" s="281"/>
      <c r="U191" s="281"/>
    </row>
    <row r="192" spans="1:21" x14ac:dyDescent="0.3">
      <c r="A192" s="347" t="str">
        <f t="shared" si="36"/>
        <v>Exclude</v>
      </c>
      <c r="D192" s="425" t="s">
        <v>1293</v>
      </c>
      <c r="E192" s="38" t="s">
        <v>59</v>
      </c>
      <c r="F192" s="10"/>
      <c r="G192" s="18"/>
      <c r="H192" s="19" t="s">
        <v>2</v>
      </c>
      <c r="I192" s="16"/>
      <c r="J192" s="16">
        <f t="shared" si="39"/>
        <v>0</v>
      </c>
      <c r="K192" s="304"/>
      <c r="L192" s="298"/>
      <c r="M192" s="298">
        <f t="shared" si="38"/>
        <v>0</v>
      </c>
      <c r="N192" s="16"/>
      <c r="O192" s="104"/>
      <c r="Q192" s="281"/>
      <c r="R192" s="281"/>
      <c r="S192" s="281"/>
      <c r="T192" s="281"/>
      <c r="U192" s="281"/>
    </row>
    <row r="193" spans="1:21" x14ac:dyDescent="0.3">
      <c r="A193" s="347" t="str">
        <f t="shared" si="36"/>
        <v>Exclude</v>
      </c>
      <c r="D193" s="425" t="s">
        <v>1293</v>
      </c>
      <c r="E193" s="38" t="s">
        <v>508</v>
      </c>
      <c r="F193" s="10"/>
      <c r="G193" s="18"/>
      <c r="H193" s="19" t="s">
        <v>3</v>
      </c>
      <c r="I193" s="16"/>
      <c r="J193" s="16">
        <f t="shared" si="39"/>
        <v>0</v>
      </c>
      <c r="K193" s="304"/>
      <c r="L193" s="298"/>
      <c r="M193" s="298">
        <f t="shared" si="38"/>
        <v>0</v>
      </c>
      <c r="N193" s="16"/>
      <c r="O193" s="104"/>
      <c r="Q193" s="281"/>
      <c r="R193" s="281"/>
      <c r="S193" s="281"/>
      <c r="T193" s="281"/>
      <c r="U193" s="281"/>
    </row>
    <row r="194" spans="1:21" x14ac:dyDescent="0.3">
      <c r="A194" s="347" t="str">
        <f t="shared" si="36"/>
        <v>Exclude</v>
      </c>
      <c r="D194" s="425" t="s">
        <v>1293</v>
      </c>
      <c r="E194" s="38" t="s">
        <v>60</v>
      </c>
      <c r="F194" s="10"/>
      <c r="G194" s="18"/>
      <c r="H194" s="19" t="s">
        <v>0</v>
      </c>
      <c r="I194" s="16"/>
      <c r="J194" s="16">
        <f t="shared" si="39"/>
        <v>0</v>
      </c>
      <c r="K194" s="304"/>
      <c r="L194" s="298"/>
      <c r="M194" s="298">
        <f t="shared" si="38"/>
        <v>0</v>
      </c>
      <c r="N194" s="16"/>
      <c r="O194" s="104"/>
      <c r="Q194" s="281"/>
      <c r="R194" s="281"/>
      <c r="S194" s="281"/>
      <c r="T194" s="281"/>
      <c r="U194" s="281"/>
    </row>
    <row r="195" spans="1:21" x14ac:dyDescent="0.3">
      <c r="A195" s="347" t="str">
        <f t="shared" si="36"/>
        <v>Exclude</v>
      </c>
      <c r="D195" s="425" t="s">
        <v>1293</v>
      </c>
      <c r="E195" s="38" t="s">
        <v>415</v>
      </c>
      <c r="F195" s="10"/>
      <c r="G195" s="18"/>
      <c r="H195" s="19" t="s">
        <v>38</v>
      </c>
      <c r="I195" s="16"/>
      <c r="J195" s="16">
        <f>I195*G195</f>
        <v>0</v>
      </c>
      <c r="K195" s="304"/>
      <c r="L195" s="298"/>
      <c r="M195" s="298">
        <f t="shared" si="38"/>
        <v>0</v>
      </c>
      <c r="N195" s="16"/>
      <c r="O195" s="104"/>
      <c r="Q195" s="281"/>
      <c r="R195" s="281"/>
      <c r="S195" s="281"/>
      <c r="T195" s="281"/>
      <c r="U195" s="281"/>
    </row>
    <row r="196" spans="1:21" x14ac:dyDescent="0.3">
      <c r="A196" s="347" t="str">
        <f t="shared" si="36"/>
        <v>Exclude</v>
      </c>
      <c r="D196" s="427" t="s">
        <v>1293</v>
      </c>
      <c r="E196" s="199" t="s">
        <v>943</v>
      </c>
      <c r="F196" s="200"/>
      <c r="G196" s="201"/>
      <c r="H196" s="202" t="s">
        <v>0</v>
      </c>
      <c r="I196" s="203"/>
      <c r="J196" s="203"/>
      <c r="K196" s="304"/>
      <c r="L196" s="302"/>
      <c r="M196" s="302">
        <f>IF(K196="x","Included in Sub Bid",G196*I196)</f>
        <v>0</v>
      </c>
      <c r="N196" s="16"/>
      <c r="O196" s="104"/>
      <c r="Q196" s="281"/>
      <c r="R196" s="281"/>
      <c r="S196" s="281"/>
      <c r="T196" s="281"/>
      <c r="U196" s="281"/>
    </row>
    <row r="197" spans="1:21" x14ac:dyDescent="0.3">
      <c r="A197" s="347" t="str">
        <f t="shared" si="36"/>
        <v>Exclude</v>
      </c>
      <c r="D197" s="427" t="s">
        <v>1293</v>
      </c>
      <c r="E197" s="199" t="s">
        <v>944</v>
      </c>
      <c r="F197" s="200"/>
      <c r="G197" s="201"/>
      <c r="H197" s="202" t="s">
        <v>0</v>
      </c>
      <c r="I197" s="203"/>
      <c r="J197" s="203"/>
      <c r="K197" s="304"/>
      <c r="L197" s="302"/>
      <c r="M197" s="302">
        <f>IF(K197="x","Included in Sub Bid",G197*I197)</f>
        <v>0</v>
      </c>
      <c r="N197" s="16"/>
      <c r="O197" s="104"/>
      <c r="Q197" s="281"/>
      <c r="R197" s="281"/>
      <c r="S197" s="281"/>
      <c r="T197" s="281"/>
      <c r="U197" s="281"/>
    </row>
    <row r="198" spans="1:21" x14ac:dyDescent="0.3">
      <c r="A198" s="347" t="str">
        <f t="shared" si="36"/>
        <v>Exclude</v>
      </c>
      <c r="D198" s="425"/>
      <c r="E198" s="38"/>
      <c r="F198" s="10"/>
      <c r="G198" s="18"/>
      <c r="H198" s="19"/>
      <c r="I198" s="16"/>
      <c r="J198" s="16"/>
      <c r="K198" s="304"/>
      <c r="L198" s="298"/>
      <c r="M198" s="298"/>
      <c r="N198" s="16"/>
      <c r="O198" s="104"/>
      <c r="Q198" s="281"/>
      <c r="R198" s="281"/>
      <c r="S198" s="281"/>
      <c r="T198" s="281"/>
      <c r="U198" s="281"/>
    </row>
    <row r="199" spans="1:21" x14ac:dyDescent="0.3">
      <c r="A199" s="347" t="str">
        <f t="shared" si="36"/>
        <v>Exclude</v>
      </c>
      <c r="D199" s="425"/>
      <c r="E199" s="11"/>
      <c r="F199" s="10"/>
      <c r="G199" s="18"/>
      <c r="H199" s="12"/>
      <c r="I199" s="16"/>
      <c r="J199" s="16"/>
      <c r="K199" s="436"/>
      <c r="L199" s="298"/>
      <c r="M199" s="298"/>
      <c r="N199" s="16"/>
      <c r="O199" s="104"/>
      <c r="Q199" s="281"/>
      <c r="R199" s="281"/>
      <c r="S199" s="281"/>
      <c r="T199" s="281"/>
      <c r="U199" s="281"/>
    </row>
    <row r="200" spans="1:21" s="55" customFormat="1" ht="17.25" customHeight="1" x14ac:dyDescent="0.3">
      <c r="A200" s="347" t="str">
        <f>IF(J200=0,"Exclude","x")</f>
        <v>Exclude</v>
      </c>
      <c r="D200" s="424" t="s">
        <v>820</v>
      </c>
      <c r="E200" s="69" t="s">
        <v>658</v>
      </c>
      <c r="F200" s="56"/>
      <c r="G200" s="57"/>
      <c r="H200" s="58"/>
      <c r="I200" s="59"/>
      <c r="J200" s="60">
        <f>SUBTOTAL(9,J201:J233)</f>
        <v>0</v>
      </c>
      <c r="K200" s="59">
        <f>IFERROR(J200/$G$6,0)</f>
        <v>0</v>
      </c>
      <c r="L200" s="309"/>
      <c r="M200" s="60"/>
      <c r="N200" s="59">
        <f>SUM(M201:M233)</f>
        <v>0</v>
      </c>
      <c r="O200" s="435">
        <f>IFERROR(N200/$G$6,0)</f>
        <v>0</v>
      </c>
      <c r="Q200" s="284"/>
      <c r="R200" s="284"/>
      <c r="S200" s="284"/>
      <c r="T200" s="284"/>
      <c r="U200" s="284"/>
    </row>
    <row r="201" spans="1:21" x14ac:dyDescent="0.3">
      <c r="A201" s="347" t="str">
        <f t="shared" si="36"/>
        <v>Exclude</v>
      </c>
      <c r="D201" s="426" t="s">
        <v>1289</v>
      </c>
      <c r="E201" s="39" t="s">
        <v>1203</v>
      </c>
      <c r="F201" s="24"/>
      <c r="G201" s="292"/>
      <c r="H201" s="25"/>
      <c r="I201" s="293"/>
      <c r="J201" s="293"/>
      <c r="K201" s="301"/>
      <c r="L201" s="300">
        <v>0</v>
      </c>
      <c r="M201" s="301">
        <f>L201</f>
        <v>0</v>
      </c>
      <c r="N201" s="293"/>
      <c r="O201" s="294"/>
      <c r="Q201" s="282"/>
      <c r="R201" s="281"/>
      <c r="S201" s="283"/>
      <c r="T201" s="283"/>
      <c r="U201" s="283"/>
    </row>
    <row r="202" spans="1:21" x14ac:dyDescent="0.3">
      <c r="A202" s="347" t="str">
        <f t="shared" si="36"/>
        <v>Exclude</v>
      </c>
      <c r="D202" s="425" t="s">
        <v>1289</v>
      </c>
      <c r="E202" s="42" t="s">
        <v>28</v>
      </c>
      <c r="F202" s="10" t="s">
        <v>389</v>
      </c>
      <c r="G202" s="18"/>
      <c r="H202" s="12" t="s">
        <v>1</v>
      </c>
      <c r="I202" s="16">
        <v>5.75</v>
      </c>
      <c r="J202" s="16">
        <f t="shared" ref="J202" si="42">G202*I202</f>
        <v>0</v>
      </c>
      <c r="K202" s="304"/>
      <c r="L202" s="298"/>
      <c r="M202" s="298">
        <f t="shared" ref="M202:M229" si="43">IF(K202="x","Included in Sub Bid",J202)</f>
        <v>0</v>
      </c>
      <c r="N202" s="16"/>
      <c r="O202" s="104"/>
      <c r="Q202" s="281"/>
      <c r="R202" s="281"/>
      <c r="S202" s="281"/>
      <c r="T202" s="281"/>
      <c r="U202" s="281"/>
    </row>
    <row r="203" spans="1:21" x14ac:dyDescent="0.3">
      <c r="A203" s="347" t="str">
        <f t="shared" si="36"/>
        <v>Exclude</v>
      </c>
      <c r="D203" s="425" t="s">
        <v>1289</v>
      </c>
      <c r="E203" s="42" t="s">
        <v>28</v>
      </c>
      <c r="F203" s="10" t="s">
        <v>361</v>
      </c>
      <c r="G203" s="18"/>
      <c r="H203" s="12" t="s">
        <v>1</v>
      </c>
      <c r="I203" s="16">
        <v>5.25</v>
      </c>
      <c r="J203" s="16">
        <f t="shared" ref="J203:J204" si="44">G203*I203</f>
        <v>0</v>
      </c>
      <c r="K203" s="304"/>
      <c r="L203" s="298"/>
      <c r="M203" s="298">
        <f t="shared" si="43"/>
        <v>0</v>
      </c>
      <c r="N203" s="16"/>
      <c r="O203" s="104"/>
      <c r="Q203" s="281"/>
      <c r="R203" s="281"/>
      <c r="S203" s="281"/>
      <c r="T203" s="281"/>
      <c r="U203" s="281"/>
    </row>
    <row r="204" spans="1:21" x14ac:dyDescent="0.3">
      <c r="A204" s="347" t="str">
        <f t="shared" si="36"/>
        <v>Exclude</v>
      </c>
      <c r="D204" s="425" t="s">
        <v>1289</v>
      </c>
      <c r="E204" s="42" t="s">
        <v>28</v>
      </c>
      <c r="F204" s="10" t="s">
        <v>368</v>
      </c>
      <c r="G204" s="18"/>
      <c r="H204" s="12" t="s">
        <v>1</v>
      </c>
      <c r="I204" s="16">
        <v>4.75</v>
      </c>
      <c r="J204" s="16">
        <f t="shared" si="44"/>
        <v>0</v>
      </c>
      <c r="K204" s="304"/>
      <c r="L204" s="298"/>
      <c r="M204" s="298">
        <f t="shared" si="43"/>
        <v>0</v>
      </c>
      <c r="N204" s="16"/>
      <c r="O204" s="104"/>
      <c r="Q204" s="281"/>
      <c r="R204" s="281"/>
      <c r="S204" s="281"/>
      <c r="T204" s="281"/>
      <c r="U204" s="281"/>
    </row>
    <row r="205" spans="1:21" x14ac:dyDescent="0.3">
      <c r="A205" s="347" t="str">
        <f t="shared" si="36"/>
        <v>Exclude</v>
      </c>
      <c r="D205" s="425" t="s">
        <v>1289</v>
      </c>
      <c r="E205" s="42" t="s">
        <v>28</v>
      </c>
      <c r="F205" s="10" t="s">
        <v>369</v>
      </c>
      <c r="G205" s="18"/>
      <c r="H205" s="12" t="s">
        <v>1</v>
      </c>
      <c r="I205" s="16">
        <v>4.25</v>
      </c>
      <c r="J205" s="16">
        <f t="shared" ref="J205" si="45">G205*I205</f>
        <v>0</v>
      </c>
      <c r="K205" s="304"/>
      <c r="L205" s="298"/>
      <c r="M205" s="298">
        <f t="shared" si="43"/>
        <v>0</v>
      </c>
      <c r="N205" s="16"/>
      <c r="O205" s="104"/>
      <c r="Q205" s="281"/>
      <c r="R205" s="281"/>
      <c r="S205" s="281"/>
      <c r="T205" s="281"/>
      <c r="U205" s="281"/>
    </row>
    <row r="206" spans="1:21" ht="12.75" customHeight="1" x14ac:dyDescent="0.3">
      <c r="A206" s="347" t="str">
        <f t="shared" si="36"/>
        <v>Exclude</v>
      </c>
      <c r="D206" s="425" t="s">
        <v>1289</v>
      </c>
      <c r="E206" s="42" t="s">
        <v>509</v>
      </c>
      <c r="F206" s="10"/>
      <c r="G206" s="18"/>
      <c r="H206" s="12" t="s">
        <v>1</v>
      </c>
      <c r="I206" s="16">
        <v>4.75</v>
      </c>
      <c r="J206" s="16">
        <f t="shared" ref="J206:J210" si="46">G206*I206</f>
        <v>0</v>
      </c>
      <c r="K206" s="304"/>
      <c r="L206" s="298"/>
      <c r="M206" s="298">
        <f t="shared" si="43"/>
        <v>0</v>
      </c>
      <c r="N206" s="16"/>
      <c r="O206" s="104"/>
      <c r="Q206" s="281"/>
      <c r="R206" s="281"/>
      <c r="S206" s="281"/>
      <c r="T206" s="281"/>
      <c r="U206" s="281"/>
    </row>
    <row r="207" spans="1:21" x14ac:dyDescent="0.3">
      <c r="A207" s="347" t="str">
        <f t="shared" si="36"/>
        <v>Exclude</v>
      </c>
      <c r="D207" s="425" t="s">
        <v>1289</v>
      </c>
      <c r="E207" s="42" t="s">
        <v>22</v>
      </c>
      <c r="F207" s="10" t="s">
        <v>556</v>
      </c>
      <c r="G207" s="18"/>
      <c r="H207" s="12" t="s">
        <v>1</v>
      </c>
      <c r="I207" s="16"/>
      <c r="J207" s="16">
        <f t="shared" si="46"/>
        <v>0</v>
      </c>
      <c r="K207" s="304"/>
      <c r="L207" s="298"/>
      <c r="M207" s="298">
        <f t="shared" si="43"/>
        <v>0</v>
      </c>
      <c r="N207" s="16"/>
      <c r="O207" s="104"/>
      <c r="Q207" s="281"/>
      <c r="R207" s="281"/>
      <c r="S207" s="281"/>
      <c r="T207" s="281"/>
      <c r="U207" s="281"/>
    </row>
    <row r="208" spans="1:21" x14ac:dyDescent="0.3">
      <c r="A208" s="347" t="str">
        <f t="shared" si="36"/>
        <v>Exclude</v>
      </c>
      <c r="D208" s="425" t="s">
        <v>1289</v>
      </c>
      <c r="E208" s="42" t="s">
        <v>22</v>
      </c>
      <c r="F208" s="10" t="s">
        <v>557</v>
      </c>
      <c r="G208" s="18"/>
      <c r="H208" s="12" t="s">
        <v>1</v>
      </c>
      <c r="I208" s="16">
        <v>0.6</v>
      </c>
      <c r="J208" s="16">
        <f t="shared" ref="J208" si="47">G208*I208</f>
        <v>0</v>
      </c>
      <c r="K208" s="304"/>
      <c r="L208" s="298"/>
      <c r="M208" s="298">
        <f t="shared" si="43"/>
        <v>0</v>
      </c>
      <c r="N208" s="16"/>
      <c r="O208" s="104"/>
      <c r="Q208" s="281"/>
      <c r="R208" s="281"/>
      <c r="S208" s="281"/>
      <c r="T208" s="281"/>
      <c r="U208" s="281"/>
    </row>
    <row r="209" spans="1:21" x14ac:dyDescent="0.3">
      <c r="A209" s="347" t="str">
        <f t="shared" si="36"/>
        <v>Exclude</v>
      </c>
      <c r="D209" s="425" t="s">
        <v>1289</v>
      </c>
      <c r="E209" s="42" t="s">
        <v>1039</v>
      </c>
      <c r="F209" s="10"/>
      <c r="G209" s="18"/>
      <c r="H209" s="12" t="s">
        <v>1</v>
      </c>
      <c r="I209" s="16">
        <v>0.55000000000000004</v>
      </c>
      <c r="J209" s="16">
        <f>G209*I209</f>
        <v>0</v>
      </c>
      <c r="K209" s="304"/>
      <c r="L209" s="298"/>
      <c r="M209" s="298">
        <f t="shared" si="43"/>
        <v>0</v>
      </c>
      <c r="N209" s="16"/>
      <c r="O209" s="104"/>
      <c r="Q209" s="281"/>
      <c r="R209" s="281"/>
      <c r="S209" s="281"/>
      <c r="T209" s="281"/>
      <c r="U209" s="281"/>
    </row>
    <row r="210" spans="1:21" x14ac:dyDescent="0.3">
      <c r="A210" s="347" t="str">
        <f t="shared" si="36"/>
        <v>Exclude</v>
      </c>
      <c r="D210" s="425" t="s">
        <v>1289</v>
      </c>
      <c r="E210" s="42" t="s">
        <v>510</v>
      </c>
      <c r="F210" s="10"/>
      <c r="G210" s="18"/>
      <c r="H210" s="12" t="s">
        <v>1</v>
      </c>
      <c r="I210" s="16">
        <v>0.5</v>
      </c>
      <c r="J210" s="16">
        <f t="shared" si="46"/>
        <v>0</v>
      </c>
      <c r="K210" s="304"/>
      <c r="L210" s="298"/>
      <c r="M210" s="298">
        <f t="shared" si="43"/>
        <v>0</v>
      </c>
      <c r="N210" s="16"/>
      <c r="O210" s="104"/>
      <c r="Q210" s="281"/>
      <c r="R210" s="281"/>
      <c r="S210" s="281"/>
      <c r="T210" s="281"/>
      <c r="U210" s="281"/>
    </row>
    <row r="211" spans="1:21" x14ac:dyDescent="0.3">
      <c r="A211" s="347" t="str">
        <f t="shared" si="36"/>
        <v>Exclude</v>
      </c>
      <c r="D211" s="425" t="s">
        <v>1289</v>
      </c>
      <c r="E211" s="42" t="s">
        <v>29</v>
      </c>
      <c r="F211" s="10"/>
      <c r="G211" s="18"/>
      <c r="H211" s="12" t="s">
        <v>2</v>
      </c>
      <c r="I211" s="16">
        <v>15000</v>
      </c>
      <c r="J211" s="16">
        <f>I211*G211</f>
        <v>0</v>
      </c>
      <c r="K211" s="304"/>
      <c r="L211" s="298"/>
      <c r="M211" s="298">
        <f t="shared" si="43"/>
        <v>0</v>
      </c>
      <c r="N211" s="16"/>
      <c r="O211" s="104"/>
      <c r="Q211" s="281"/>
      <c r="R211" s="281"/>
      <c r="S211" s="281"/>
      <c r="T211" s="281"/>
      <c r="U211" s="281"/>
    </row>
    <row r="212" spans="1:21" x14ac:dyDescent="0.3">
      <c r="A212" s="347" t="str">
        <f t="shared" si="36"/>
        <v>Exclude</v>
      </c>
      <c r="D212" s="425" t="s">
        <v>1289</v>
      </c>
      <c r="E212" s="42" t="s">
        <v>19</v>
      </c>
      <c r="F212" s="10"/>
      <c r="G212" s="18"/>
      <c r="H212" s="12" t="s">
        <v>1</v>
      </c>
      <c r="I212" s="16">
        <v>6</v>
      </c>
      <c r="J212" s="16">
        <f>I212*G212</f>
        <v>0</v>
      </c>
      <c r="K212" s="304"/>
      <c r="L212" s="298"/>
      <c r="M212" s="298">
        <f t="shared" si="43"/>
        <v>0</v>
      </c>
      <c r="N212" s="16"/>
      <c r="O212" s="104"/>
      <c r="Q212" s="281"/>
      <c r="R212" s="281"/>
      <c r="S212" s="281"/>
      <c r="T212" s="281"/>
      <c r="U212" s="281"/>
    </row>
    <row r="213" spans="1:21" x14ac:dyDescent="0.3">
      <c r="A213" s="347" t="str">
        <f t="shared" si="36"/>
        <v>Exclude</v>
      </c>
      <c r="D213" s="425" t="s">
        <v>1289</v>
      </c>
      <c r="E213" s="42" t="s">
        <v>356</v>
      </c>
      <c r="F213" s="10"/>
      <c r="G213" s="18"/>
      <c r="H213" s="12" t="s">
        <v>1</v>
      </c>
      <c r="I213" s="16">
        <v>6</v>
      </c>
      <c r="J213" s="16">
        <f>I213*G213</f>
        <v>0</v>
      </c>
      <c r="K213" s="304"/>
      <c r="L213" s="298"/>
      <c r="M213" s="298">
        <f t="shared" si="43"/>
        <v>0</v>
      </c>
      <c r="N213" s="16"/>
      <c r="O213" s="104"/>
      <c r="Q213" s="281"/>
      <c r="R213" s="281"/>
      <c r="S213" s="281"/>
      <c r="T213" s="281"/>
      <c r="U213" s="281"/>
    </row>
    <row r="214" spans="1:21" x14ac:dyDescent="0.3">
      <c r="A214" s="347" t="str">
        <f t="shared" si="36"/>
        <v>Exclude</v>
      </c>
      <c r="D214" s="425" t="s">
        <v>1289</v>
      </c>
      <c r="E214" s="42" t="s">
        <v>367</v>
      </c>
      <c r="F214" s="10"/>
      <c r="G214" s="18"/>
      <c r="H214" s="12" t="s">
        <v>1</v>
      </c>
      <c r="I214" s="16"/>
      <c r="J214" s="16">
        <f>G214*I214</f>
        <v>0</v>
      </c>
      <c r="K214" s="304"/>
      <c r="L214" s="298"/>
      <c r="M214" s="298">
        <f t="shared" si="43"/>
        <v>0</v>
      </c>
      <c r="N214" s="16"/>
      <c r="O214" s="104"/>
      <c r="Q214" s="281"/>
      <c r="R214" s="281"/>
      <c r="S214" s="281"/>
      <c r="T214" s="281"/>
      <c r="U214" s="281"/>
    </row>
    <row r="215" spans="1:21" x14ac:dyDescent="0.3">
      <c r="A215" s="347" t="str">
        <f t="shared" si="36"/>
        <v>Exclude</v>
      </c>
      <c r="D215" s="425" t="s">
        <v>1289</v>
      </c>
      <c r="E215" s="42" t="s">
        <v>352</v>
      </c>
      <c r="F215" s="10"/>
      <c r="G215" s="18"/>
      <c r="H215" s="12" t="s">
        <v>1</v>
      </c>
      <c r="I215" s="16"/>
      <c r="J215" s="16">
        <f>G215*I215</f>
        <v>0</v>
      </c>
      <c r="K215" s="304"/>
      <c r="L215" s="298"/>
      <c r="M215" s="298">
        <f t="shared" si="43"/>
        <v>0</v>
      </c>
      <c r="N215" s="16"/>
      <c r="O215" s="104"/>
      <c r="Q215" s="281"/>
      <c r="R215" s="281"/>
      <c r="S215" s="281"/>
      <c r="T215" s="281"/>
      <c r="U215" s="281"/>
    </row>
    <row r="216" spans="1:21" x14ac:dyDescent="0.3">
      <c r="A216" s="347" t="str">
        <f t="shared" si="36"/>
        <v>Exclude</v>
      </c>
      <c r="D216" s="425" t="s">
        <v>1289</v>
      </c>
      <c r="E216" s="42" t="s">
        <v>24</v>
      </c>
      <c r="F216" s="10"/>
      <c r="G216" s="18">
        <f>SUM(G202:G206)</f>
        <v>0</v>
      </c>
      <c r="H216" s="12" t="s">
        <v>1</v>
      </c>
      <c r="I216" s="16">
        <v>0.2</v>
      </c>
      <c r="J216" s="16">
        <f>G216*I216</f>
        <v>0</v>
      </c>
      <c r="K216" s="304"/>
      <c r="L216" s="298"/>
      <c r="M216" s="298">
        <f t="shared" si="43"/>
        <v>0</v>
      </c>
      <c r="N216" s="16"/>
      <c r="O216" s="104"/>
      <c r="Q216" s="281"/>
      <c r="R216" s="281"/>
      <c r="S216" s="281"/>
      <c r="T216" s="281"/>
      <c r="U216" s="281"/>
    </row>
    <row r="217" spans="1:21" x14ac:dyDescent="0.3">
      <c r="A217" s="347" t="str">
        <f t="shared" si="36"/>
        <v>Exclude</v>
      </c>
      <c r="D217" s="425" t="s">
        <v>1289</v>
      </c>
      <c r="E217" s="42" t="s">
        <v>402</v>
      </c>
      <c r="F217" s="10"/>
      <c r="G217" s="18"/>
      <c r="H217" s="12" t="s">
        <v>38</v>
      </c>
      <c r="I217" s="16"/>
      <c r="J217" s="16">
        <f>G217*I217</f>
        <v>0</v>
      </c>
      <c r="K217" s="304"/>
      <c r="L217" s="298"/>
      <c r="M217" s="298">
        <f t="shared" si="43"/>
        <v>0</v>
      </c>
      <c r="N217" s="16"/>
      <c r="O217" s="104"/>
      <c r="Q217" s="281"/>
      <c r="R217" s="281"/>
      <c r="S217" s="281"/>
      <c r="T217" s="281"/>
      <c r="U217" s="281"/>
    </row>
    <row r="218" spans="1:21" x14ac:dyDescent="0.3">
      <c r="A218" s="347" t="str">
        <f t="shared" si="36"/>
        <v>Exclude</v>
      </c>
      <c r="D218" s="425" t="s">
        <v>1289</v>
      </c>
      <c r="E218" s="42" t="s">
        <v>18</v>
      </c>
      <c r="F218" s="10"/>
      <c r="G218" s="18"/>
      <c r="H218" s="12" t="s">
        <v>3</v>
      </c>
      <c r="I218" s="16">
        <v>14.75</v>
      </c>
      <c r="J218" s="16">
        <f t="shared" ref="J218:J223" si="48">I218*G218</f>
        <v>0</v>
      </c>
      <c r="K218" s="304"/>
      <c r="L218" s="298"/>
      <c r="M218" s="298">
        <f t="shared" si="43"/>
        <v>0</v>
      </c>
      <c r="N218" s="16"/>
      <c r="O218" s="104"/>
      <c r="Q218" s="281"/>
      <c r="R218" s="281"/>
      <c r="S218" s="281"/>
      <c r="T218" s="281"/>
      <c r="U218" s="281"/>
    </row>
    <row r="219" spans="1:21" x14ac:dyDescent="0.3">
      <c r="A219" s="347" t="str">
        <f t="shared" si="36"/>
        <v>Exclude</v>
      </c>
      <c r="D219" s="425" t="s">
        <v>1289</v>
      </c>
      <c r="E219" s="42" t="s">
        <v>1032</v>
      </c>
      <c r="F219" s="10"/>
      <c r="G219" s="18"/>
      <c r="H219" s="12" t="s">
        <v>3</v>
      </c>
      <c r="I219" s="16">
        <v>7</v>
      </c>
      <c r="J219" s="16">
        <f t="shared" si="48"/>
        <v>0</v>
      </c>
      <c r="K219" s="304"/>
      <c r="L219" s="298"/>
      <c r="M219" s="298">
        <f t="shared" si="43"/>
        <v>0</v>
      </c>
      <c r="N219" s="16"/>
      <c r="O219" s="104"/>
      <c r="Q219" s="281"/>
      <c r="R219" s="281"/>
      <c r="S219" s="281"/>
      <c r="T219" s="281"/>
      <c r="U219" s="281"/>
    </row>
    <row r="220" spans="1:21" x14ac:dyDescent="0.3">
      <c r="A220" s="347" t="str">
        <f t="shared" si="36"/>
        <v>Exclude</v>
      </c>
      <c r="D220" s="425" t="s">
        <v>1289</v>
      </c>
      <c r="E220" s="42" t="s">
        <v>1034</v>
      </c>
      <c r="F220" s="10"/>
      <c r="G220" s="18"/>
      <c r="H220" s="12" t="s">
        <v>3</v>
      </c>
      <c r="I220" s="16">
        <v>10</v>
      </c>
      <c r="J220" s="16">
        <f t="shared" si="48"/>
        <v>0</v>
      </c>
      <c r="K220" s="304"/>
      <c r="L220" s="298"/>
      <c r="M220" s="298">
        <f t="shared" si="43"/>
        <v>0</v>
      </c>
      <c r="N220" s="16"/>
      <c r="O220" s="104"/>
      <c r="Q220" s="281"/>
      <c r="R220" s="281"/>
      <c r="S220" s="281"/>
      <c r="T220" s="281"/>
      <c r="U220" s="281"/>
    </row>
    <row r="221" spans="1:21" x14ac:dyDescent="0.3">
      <c r="A221" s="347" t="str">
        <f t="shared" si="36"/>
        <v>Exclude</v>
      </c>
      <c r="D221" s="425" t="s">
        <v>1289</v>
      </c>
      <c r="E221" s="42" t="s">
        <v>1033</v>
      </c>
      <c r="F221" s="10"/>
      <c r="G221" s="18"/>
      <c r="H221" s="12" t="s">
        <v>3</v>
      </c>
      <c r="I221" s="16">
        <v>13</v>
      </c>
      <c r="J221" s="16">
        <f t="shared" si="48"/>
        <v>0</v>
      </c>
      <c r="K221" s="304"/>
      <c r="L221" s="298"/>
      <c r="M221" s="298">
        <f t="shared" si="43"/>
        <v>0</v>
      </c>
      <c r="N221" s="16"/>
      <c r="O221" s="104"/>
      <c r="Q221" s="281"/>
      <c r="R221" s="281"/>
      <c r="S221" s="281"/>
      <c r="T221" s="281"/>
      <c r="U221" s="281"/>
    </row>
    <row r="222" spans="1:21" x14ac:dyDescent="0.3">
      <c r="A222" s="347" t="str">
        <f t="shared" si="36"/>
        <v>Exclude</v>
      </c>
      <c r="D222" s="425" t="s">
        <v>1289</v>
      </c>
      <c r="E222" s="42" t="s">
        <v>1236</v>
      </c>
      <c r="F222" s="10"/>
      <c r="G222" s="18">
        <v>1</v>
      </c>
      <c r="H222" s="12" t="s">
        <v>0</v>
      </c>
      <c r="I222" s="16"/>
      <c r="J222" s="16">
        <f t="shared" si="48"/>
        <v>0</v>
      </c>
      <c r="K222" s="304"/>
      <c r="L222" s="298"/>
      <c r="M222" s="298">
        <f t="shared" ref="M222" si="49">IF(K222="x","Included in Sub Bid",J222)</f>
        <v>0</v>
      </c>
      <c r="N222" s="16"/>
      <c r="O222" s="104"/>
      <c r="Q222" s="281"/>
      <c r="R222" s="281"/>
      <c r="S222" s="281"/>
      <c r="T222" s="281"/>
      <c r="U222" s="281"/>
    </row>
    <row r="223" spans="1:21" x14ac:dyDescent="0.3">
      <c r="A223" s="347" t="str">
        <f t="shared" si="36"/>
        <v>Exclude</v>
      </c>
      <c r="D223" s="425" t="s">
        <v>1289</v>
      </c>
      <c r="E223" s="42" t="s">
        <v>196</v>
      </c>
      <c r="F223" s="10"/>
      <c r="G223" s="18"/>
      <c r="H223" s="12" t="s">
        <v>2</v>
      </c>
      <c r="I223" s="16"/>
      <c r="J223" s="16">
        <f t="shared" si="48"/>
        <v>0</v>
      </c>
      <c r="K223" s="304"/>
      <c r="L223" s="298"/>
      <c r="M223" s="298">
        <f t="shared" si="43"/>
        <v>0</v>
      </c>
      <c r="N223" s="16"/>
      <c r="O223" s="104"/>
      <c r="Q223" s="281"/>
      <c r="R223" s="281"/>
      <c r="S223" s="281"/>
      <c r="T223" s="281"/>
      <c r="U223" s="281"/>
    </row>
    <row r="224" spans="1:21" x14ac:dyDescent="0.3">
      <c r="A224" s="347" t="str">
        <f t="shared" si="36"/>
        <v>Exclude</v>
      </c>
      <c r="D224" s="425" t="s">
        <v>1289</v>
      </c>
      <c r="E224" s="42" t="s">
        <v>45</v>
      </c>
      <c r="F224" s="10"/>
      <c r="G224" s="18"/>
      <c r="H224" s="12" t="s">
        <v>1</v>
      </c>
      <c r="I224" s="16">
        <v>6</v>
      </c>
      <c r="J224" s="16">
        <f t="shared" ref="J224:J225" si="50">I224*G224</f>
        <v>0</v>
      </c>
      <c r="K224" s="304"/>
      <c r="L224" s="298"/>
      <c r="M224" s="298">
        <f t="shared" si="43"/>
        <v>0</v>
      </c>
      <c r="N224" s="16"/>
      <c r="O224" s="104"/>
      <c r="Q224" s="281"/>
      <c r="R224" s="281"/>
      <c r="S224" s="281"/>
      <c r="T224" s="281"/>
      <c r="U224" s="281"/>
    </row>
    <row r="225" spans="1:21" x14ac:dyDescent="0.3">
      <c r="A225" s="347" t="str">
        <f t="shared" si="36"/>
        <v>Exclude</v>
      </c>
      <c r="D225" s="425" t="s">
        <v>1289</v>
      </c>
      <c r="E225" s="42" t="s">
        <v>534</v>
      </c>
      <c r="F225" s="10"/>
      <c r="G225" s="18"/>
      <c r="H225" s="12" t="s">
        <v>3</v>
      </c>
      <c r="I225" s="16"/>
      <c r="J225" s="16">
        <f t="shared" si="50"/>
        <v>0</v>
      </c>
      <c r="K225" s="304"/>
      <c r="L225" s="298"/>
      <c r="M225" s="298">
        <f t="shared" si="43"/>
        <v>0</v>
      </c>
      <c r="N225" s="16"/>
      <c r="O225" s="104"/>
      <c r="Q225" s="281"/>
      <c r="R225" s="281"/>
      <c r="S225" s="281"/>
      <c r="T225" s="281"/>
      <c r="U225" s="281"/>
    </row>
    <row r="226" spans="1:21" x14ac:dyDescent="0.3">
      <c r="A226" s="347" t="str">
        <f t="shared" si="36"/>
        <v>Exclude</v>
      </c>
      <c r="D226" s="425" t="s">
        <v>1289</v>
      </c>
      <c r="E226" s="42" t="s">
        <v>824</v>
      </c>
      <c r="F226" s="10"/>
      <c r="G226" s="18"/>
      <c r="H226" s="12" t="s">
        <v>2</v>
      </c>
      <c r="I226" s="16">
        <v>350</v>
      </c>
      <c r="J226" s="16">
        <f t="shared" ref="J226" si="51">I226*G226</f>
        <v>0</v>
      </c>
      <c r="K226" s="304"/>
      <c r="L226" s="298"/>
      <c r="M226" s="298">
        <f t="shared" si="43"/>
        <v>0</v>
      </c>
      <c r="N226" s="16"/>
      <c r="O226" s="104"/>
      <c r="Q226" s="281"/>
      <c r="R226" s="281"/>
      <c r="S226" s="281"/>
      <c r="T226" s="281"/>
      <c r="U226" s="281"/>
    </row>
    <row r="227" spans="1:21" x14ac:dyDescent="0.3">
      <c r="A227" s="347" t="str">
        <f t="shared" si="36"/>
        <v>Exclude</v>
      </c>
      <c r="D227" s="425" t="s">
        <v>1289</v>
      </c>
      <c r="E227" s="42" t="s">
        <v>1035</v>
      </c>
      <c r="F227" s="10"/>
      <c r="G227" s="18"/>
      <c r="H227" s="12" t="s">
        <v>2</v>
      </c>
      <c r="I227" s="16">
        <v>2500</v>
      </c>
      <c r="J227" s="16">
        <f t="shared" ref="J227" si="52">I227*G227</f>
        <v>0</v>
      </c>
      <c r="K227" s="304"/>
      <c r="L227" s="298"/>
      <c r="M227" s="298">
        <f t="shared" si="43"/>
        <v>0</v>
      </c>
      <c r="N227" s="16"/>
      <c r="O227" s="104"/>
      <c r="Q227" s="281"/>
      <c r="R227" s="281"/>
      <c r="S227" s="281"/>
      <c r="T227" s="281"/>
      <c r="U227" s="281"/>
    </row>
    <row r="228" spans="1:21" x14ac:dyDescent="0.3">
      <c r="A228" s="347" t="str">
        <f t="shared" si="36"/>
        <v>Exclude</v>
      </c>
      <c r="D228" s="425" t="s">
        <v>1289</v>
      </c>
      <c r="E228" s="42" t="s">
        <v>1036</v>
      </c>
      <c r="F228" s="10"/>
      <c r="G228" s="18"/>
      <c r="H228" s="12" t="s">
        <v>2</v>
      </c>
      <c r="I228" s="16">
        <v>650</v>
      </c>
      <c r="J228" s="16">
        <f t="shared" ref="J228" si="53">I228*G228</f>
        <v>0</v>
      </c>
      <c r="K228" s="304"/>
      <c r="L228" s="298"/>
      <c r="M228" s="298">
        <f t="shared" si="43"/>
        <v>0</v>
      </c>
      <c r="N228" s="16"/>
      <c r="O228" s="104"/>
      <c r="Q228" s="281"/>
      <c r="R228" s="281"/>
      <c r="S228" s="281"/>
      <c r="T228" s="281"/>
      <c r="U228" s="281"/>
    </row>
    <row r="229" spans="1:21" ht="12.75" customHeight="1" x14ac:dyDescent="0.3">
      <c r="A229" s="347" t="str">
        <f t="shared" si="36"/>
        <v>Exclude</v>
      </c>
      <c r="D229" s="425" t="s">
        <v>1289</v>
      </c>
      <c r="E229" s="37" t="s">
        <v>542</v>
      </c>
      <c r="F229" s="10"/>
      <c r="G229" s="18"/>
      <c r="H229" s="19" t="s">
        <v>0</v>
      </c>
      <c r="I229" s="16">
        <v>7000</v>
      </c>
      <c r="J229" s="16">
        <f t="shared" ref="J229" si="54">G229*I229</f>
        <v>0</v>
      </c>
      <c r="K229" s="304"/>
      <c r="L229" s="298"/>
      <c r="M229" s="298">
        <f t="shared" si="43"/>
        <v>0</v>
      </c>
      <c r="N229" s="16"/>
      <c r="O229" s="104"/>
      <c r="Q229" s="281"/>
      <c r="R229" s="281"/>
      <c r="S229" s="281"/>
      <c r="T229" s="281"/>
      <c r="U229" s="281"/>
    </row>
    <row r="230" spans="1:21" x14ac:dyDescent="0.3">
      <c r="A230" s="347" t="str">
        <f t="shared" si="36"/>
        <v>Exclude</v>
      </c>
      <c r="D230" s="427" t="s">
        <v>1289</v>
      </c>
      <c r="E230" s="199" t="s">
        <v>943</v>
      </c>
      <c r="F230" s="200"/>
      <c r="G230" s="201"/>
      <c r="H230" s="202" t="s">
        <v>0</v>
      </c>
      <c r="I230" s="203"/>
      <c r="J230" s="203"/>
      <c r="K230" s="304"/>
      <c r="L230" s="302"/>
      <c r="M230" s="302">
        <f>IF(K230="x","Included in Sub Bid",G230*I230)</f>
        <v>0</v>
      </c>
      <c r="N230" s="16"/>
      <c r="O230" s="104"/>
      <c r="Q230" s="281"/>
      <c r="R230" s="281"/>
      <c r="S230" s="281"/>
      <c r="T230" s="281"/>
      <c r="U230" s="281"/>
    </row>
    <row r="231" spans="1:21" x14ac:dyDescent="0.3">
      <c r="A231" s="347" t="str">
        <f t="shared" si="36"/>
        <v>Exclude</v>
      </c>
      <c r="D231" s="427" t="s">
        <v>1289</v>
      </c>
      <c r="E231" s="199" t="s">
        <v>944</v>
      </c>
      <c r="F231" s="200"/>
      <c r="G231" s="201"/>
      <c r="H231" s="202" t="s">
        <v>0</v>
      </c>
      <c r="I231" s="203"/>
      <c r="J231" s="203"/>
      <c r="K231" s="304"/>
      <c r="L231" s="302"/>
      <c r="M231" s="302">
        <f>IF(K231="x","Included in Sub Bid",G231*I231)</f>
        <v>0</v>
      </c>
      <c r="N231" s="16"/>
      <c r="O231" s="104"/>
      <c r="Q231" s="281"/>
      <c r="R231" s="281"/>
      <c r="S231" s="281"/>
      <c r="T231" s="281"/>
      <c r="U231" s="281"/>
    </row>
    <row r="232" spans="1:21" x14ac:dyDescent="0.3">
      <c r="A232" s="347" t="str">
        <f t="shared" si="36"/>
        <v>Exclude</v>
      </c>
      <c r="D232" s="425"/>
      <c r="E232" s="11"/>
      <c r="F232" s="10"/>
      <c r="G232" s="18"/>
      <c r="H232" s="12"/>
      <c r="I232" s="16"/>
      <c r="J232" s="16"/>
      <c r="K232" s="304"/>
      <c r="L232" s="298"/>
      <c r="M232" s="298"/>
      <c r="N232" s="16"/>
      <c r="O232" s="104"/>
      <c r="Q232" s="281"/>
      <c r="R232" s="281"/>
      <c r="S232" s="281"/>
      <c r="T232" s="281"/>
      <c r="U232" s="281"/>
    </row>
    <row r="233" spans="1:21" x14ac:dyDescent="0.3">
      <c r="A233" s="347" t="str">
        <f t="shared" si="36"/>
        <v>Exclude</v>
      </c>
      <c r="D233" s="425"/>
      <c r="E233" s="43"/>
      <c r="F233" s="10"/>
      <c r="G233" s="18"/>
      <c r="H233" s="12"/>
      <c r="I233" s="16"/>
      <c r="J233" s="16"/>
      <c r="K233" s="436"/>
      <c r="L233" s="298"/>
      <c r="M233" s="298"/>
      <c r="N233" s="16"/>
      <c r="O233" s="87"/>
      <c r="Q233" s="281"/>
      <c r="R233" s="281"/>
      <c r="S233" s="281"/>
      <c r="T233" s="281"/>
      <c r="U233" s="281"/>
    </row>
    <row r="234" spans="1:21" s="55" customFormat="1" ht="17.25" customHeight="1" x14ac:dyDescent="0.3">
      <c r="A234" s="347" t="str">
        <f>IF(J234=0,"Exclude","x")</f>
        <v>Exclude</v>
      </c>
      <c r="D234" s="424" t="s">
        <v>820</v>
      </c>
      <c r="E234" s="69" t="s">
        <v>659</v>
      </c>
      <c r="F234" s="56"/>
      <c r="G234" s="57"/>
      <c r="H234" s="58"/>
      <c r="I234" s="59"/>
      <c r="J234" s="60">
        <f>SUBTOTAL(9,J235:J248)</f>
        <v>0</v>
      </c>
      <c r="K234" s="59">
        <f>IFERROR(J234/$G$6,0)</f>
        <v>0</v>
      </c>
      <c r="L234" s="309"/>
      <c r="M234" s="60"/>
      <c r="N234" s="59">
        <f>SUM(M235:M248)</f>
        <v>0</v>
      </c>
      <c r="O234" s="435">
        <f>IFERROR(N234/$G$6,0)</f>
        <v>0</v>
      </c>
      <c r="Q234" s="284"/>
      <c r="R234" s="284"/>
      <c r="S234" s="284"/>
      <c r="T234" s="284"/>
      <c r="U234" s="284"/>
    </row>
    <row r="235" spans="1:21" x14ac:dyDescent="0.3">
      <c r="A235" s="347" t="str">
        <f t="shared" si="36"/>
        <v>Exclude</v>
      </c>
      <c r="D235" s="426" t="s">
        <v>1294</v>
      </c>
      <c r="E235" s="39" t="s">
        <v>1203</v>
      </c>
      <c r="F235" s="24"/>
      <c r="G235" s="292"/>
      <c r="H235" s="25"/>
      <c r="I235" s="293"/>
      <c r="J235" s="293"/>
      <c r="K235" s="301"/>
      <c r="L235" s="300">
        <v>0</v>
      </c>
      <c r="M235" s="301">
        <f>L235</f>
        <v>0</v>
      </c>
      <c r="N235" s="293"/>
      <c r="O235" s="294"/>
      <c r="Q235" s="282"/>
      <c r="R235" s="281"/>
      <c r="S235" s="283"/>
      <c r="T235" s="283"/>
      <c r="U235" s="283"/>
    </row>
    <row r="236" spans="1:21" x14ac:dyDescent="0.3">
      <c r="A236" s="347" t="str">
        <f t="shared" si="36"/>
        <v>Exclude</v>
      </c>
      <c r="D236" s="425" t="s">
        <v>1294</v>
      </c>
      <c r="E236" s="37" t="s">
        <v>150</v>
      </c>
      <c r="F236" s="10" t="s">
        <v>340</v>
      </c>
      <c r="G236" s="18"/>
      <c r="H236" s="19" t="s">
        <v>39</v>
      </c>
      <c r="I236" s="16">
        <v>27</v>
      </c>
      <c r="J236" s="16">
        <f t="shared" ref="J236:J244" si="55">G236*I236</f>
        <v>0</v>
      </c>
      <c r="K236" s="304"/>
      <c r="L236" s="298"/>
      <c r="M236" s="298">
        <f t="shared" ref="M236:M244" si="56">IF(K236="x","Included in Sub Bid",J236)</f>
        <v>0</v>
      </c>
      <c r="N236" s="16"/>
      <c r="O236" s="104"/>
      <c r="Q236" s="281"/>
      <c r="R236" s="281"/>
      <c r="S236" s="281"/>
      <c r="T236" s="281"/>
      <c r="U236" s="281"/>
    </row>
    <row r="237" spans="1:21" x14ac:dyDescent="0.3">
      <c r="A237" s="347" t="str">
        <f t="shared" si="36"/>
        <v>Exclude</v>
      </c>
      <c r="D237" s="425" t="s">
        <v>1294</v>
      </c>
      <c r="E237" s="37" t="s">
        <v>1045</v>
      </c>
      <c r="F237" s="10" t="s">
        <v>1046</v>
      </c>
      <c r="G237" s="18"/>
      <c r="H237" s="19" t="s">
        <v>39</v>
      </c>
      <c r="I237" s="16">
        <v>50</v>
      </c>
      <c r="J237" s="16">
        <f t="shared" ref="J237" si="57">G237*I237</f>
        <v>0</v>
      </c>
      <c r="K237" s="304"/>
      <c r="L237" s="298"/>
      <c r="M237" s="298">
        <f t="shared" si="56"/>
        <v>0</v>
      </c>
      <c r="N237" s="16"/>
      <c r="O237" s="104"/>
      <c r="Q237" s="281"/>
      <c r="R237" s="281"/>
      <c r="S237" s="281"/>
      <c r="T237" s="281"/>
      <c r="U237" s="281"/>
    </row>
    <row r="238" spans="1:21" ht="12.75" customHeight="1" x14ac:dyDescent="0.3">
      <c r="A238" s="347" t="str">
        <f t="shared" si="36"/>
        <v>Exclude</v>
      </c>
      <c r="D238" s="425" t="s">
        <v>1294</v>
      </c>
      <c r="E238" s="37" t="s">
        <v>151</v>
      </c>
      <c r="F238" s="10" t="s">
        <v>364</v>
      </c>
      <c r="G238" s="18"/>
      <c r="H238" s="19" t="s">
        <v>39</v>
      </c>
      <c r="I238" s="16">
        <v>50</v>
      </c>
      <c r="J238" s="16">
        <f t="shared" si="55"/>
        <v>0</v>
      </c>
      <c r="K238" s="304"/>
      <c r="L238" s="298"/>
      <c r="M238" s="298">
        <f t="shared" si="56"/>
        <v>0</v>
      </c>
      <c r="N238" s="16"/>
      <c r="O238" s="104"/>
      <c r="Q238" s="281"/>
      <c r="R238" s="281"/>
      <c r="S238" s="281"/>
      <c r="T238" s="281"/>
      <c r="U238" s="281"/>
    </row>
    <row r="239" spans="1:21" ht="12.75" customHeight="1" x14ac:dyDescent="0.3">
      <c r="A239" s="347" t="str">
        <f t="shared" si="36"/>
        <v>Exclude</v>
      </c>
      <c r="D239" s="425" t="s">
        <v>1294</v>
      </c>
      <c r="E239" s="37" t="s">
        <v>535</v>
      </c>
      <c r="F239" s="10"/>
      <c r="G239" s="18"/>
      <c r="H239" s="19" t="s">
        <v>39</v>
      </c>
      <c r="I239" s="16"/>
      <c r="J239" s="16">
        <f t="shared" ref="J239:J242" si="58">G239*I239</f>
        <v>0</v>
      </c>
      <c r="K239" s="304"/>
      <c r="L239" s="298"/>
      <c r="M239" s="298">
        <f t="shared" si="56"/>
        <v>0</v>
      </c>
      <c r="N239" s="16"/>
      <c r="O239" s="104"/>
      <c r="Q239" s="281"/>
      <c r="R239" s="281"/>
      <c r="S239" s="281"/>
      <c r="T239" s="281"/>
      <c r="U239" s="281"/>
    </row>
    <row r="240" spans="1:21" ht="12.75" customHeight="1" x14ac:dyDescent="0.3">
      <c r="A240" s="347" t="str">
        <f t="shared" si="36"/>
        <v>Exclude</v>
      </c>
      <c r="D240" s="425" t="s">
        <v>1294</v>
      </c>
      <c r="E240" s="37" t="s">
        <v>536</v>
      </c>
      <c r="F240" s="10"/>
      <c r="G240" s="18"/>
      <c r="H240" s="19" t="s">
        <v>39</v>
      </c>
      <c r="I240" s="16">
        <v>20</v>
      </c>
      <c r="J240" s="16">
        <f t="shared" si="58"/>
        <v>0</v>
      </c>
      <c r="K240" s="304"/>
      <c r="L240" s="298"/>
      <c r="M240" s="298">
        <f t="shared" si="56"/>
        <v>0</v>
      </c>
      <c r="N240" s="16"/>
      <c r="O240" s="104"/>
      <c r="Q240" s="281"/>
      <c r="R240" s="281"/>
      <c r="S240" s="281"/>
      <c r="T240" s="281"/>
      <c r="U240" s="281"/>
    </row>
    <row r="241" spans="1:21" ht="12.75" customHeight="1" x14ac:dyDescent="0.3">
      <c r="A241" s="347" t="str">
        <f t="shared" si="36"/>
        <v>Exclude</v>
      </c>
      <c r="D241" s="425" t="s">
        <v>1294</v>
      </c>
      <c r="E241" s="37" t="s">
        <v>541</v>
      </c>
      <c r="F241" s="10"/>
      <c r="G241" s="18"/>
      <c r="H241" s="19" t="s">
        <v>3</v>
      </c>
      <c r="I241" s="16">
        <v>10</v>
      </c>
      <c r="J241" s="16">
        <f t="shared" si="58"/>
        <v>0</v>
      </c>
      <c r="K241" s="304"/>
      <c r="L241" s="298"/>
      <c r="M241" s="298">
        <f t="shared" si="56"/>
        <v>0</v>
      </c>
      <c r="N241" s="16"/>
      <c r="O241" s="104"/>
      <c r="Q241" s="281"/>
      <c r="R241" s="281"/>
      <c r="S241" s="281"/>
      <c r="T241" s="281"/>
      <c r="U241" s="281"/>
    </row>
    <row r="242" spans="1:21" ht="12.75" customHeight="1" x14ac:dyDescent="0.3">
      <c r="A242" s="347" t="str">
        <f t="shared" ref="A242:A307" si="59">A241</f>
        <v>Exclude</v>
      </c>
      <c r="D242" s="425" t="s">
        <v>1294</v>
      </c>
      <c r="E242" s="37" t="s">
        <v>542</v>
      </c>
      <c r="F242" s="10"/>
      <c r="G242" s="18"/>
      <c r="H242" s="19" t="s">
        <v>0</v>
      </c>
      <c r="I242" s="16">
        <v>7000</v>
      </c>
      <c r="J242" s="16">
        <f t="shared" si="58"/>
        <v>0</v>
      </c>
      <c r="K242" s="304"/>
      <c r="L242" s="298"/>
      <c r="M242" s="298">
        <f t="shared" si="56"/>
        <v>0</v>
      </c>
      <c r="N242" s="16"/>
      <c r="O242" s="104"/>
      <c r="Q242" s="281"/>
      <c r="R242" s="281"/>
      <c r="S242" s="281"/>
      <c r="T242" s="281"/>
      <c r="U242" s="281"/>
    </row>
    <row r="243" spans="1:21" ht="12.75" customHeight="1" x14ac:dyDescent="0.3">
      <c r="A243" s="347" t="str">
        <f t="shared" si="59"/>
        <v>Exclude</v>
      </c>
      <c r="D243" s="425" t="s">
        <v>1294</v>
      </c>
      <c r="E243" s="38" t="s">
        <v>65</v>
      </c>
      <c r="F243" s="10"/>
      <c r="G243" s="18"/>
      <c r="H243" s="19" t="s">
        <v>39</v>
      </c>
      <c r="I243" s="16"/>
      <c r="J243" s="16">
        <f t="shared" si="55"/>
        <v>0</v>
      </c>
      <c r="K243" s="304"/>
      <c r="L243" s="298"/>
      <c r="M243" s="298">
        <f t="shared" si="56"/>
        <v>0</v>
      </c>
      <c r="N243" s="16"/>
      <c r="O243" s="104"/>
      <c r="Q243" s="281"/>
      <c r="R243" s="281"/>
      <c r="S243" s="281"/>
      <c r="T243" s="281"/>
      <c r="U243" s="281"/>
    </row>
    <row r="244" spans="1:21" x14ac:dyDescent="0.3">
      <c r="A244" s="347" t="str">
        <f t="shared" si="59"/>
        <v>Exclude</v>
      </c>
      <c r="D244" s="425" t="s">
        <v>1294</v>
      </c>
      <c r="E244" s="38" t="s">
        <v>66</v>
      </c>
      <c r="F244" s="10"/>
      <c r="G244" s="18"/>
      <c r="H244" s="19" t="s">
        <v>20</v>
      </c>
      <c r="I244" s="16">
        <v>36</v>
      </c>
      <c r="J244" s="16">
        <f t="shared" si="55"/>
        <v>0</v>
      </c>
      <c r="K244" s="304"/>
      <c r="L244" s="298"/>
      <c r="M244" s="298">
        <f t="shared" si="56"/>
        <v>0</v>
      </c>
      <c r="N244" s="16"/>
      <c r="O244" s="104"/>
      <c r="Q244" s="281"/>
      <c r="R244" s="281"/>
      <c r="S244" s="281"/>
      <c r="T244" s="281"/>
      <c r="U244" s="281"/>
    </row>
    <row r="245" spans="1:21" x14ac:dyDescent="0.3">
      <c r="A245" s="347" t="str">
        <f t="shared" si="59"/>
        <v>Exclude</v>
      </c>
      <c r="D245" s="427" t="s">
        <v>1294</v>
      </c>
      <c r="E245" s="199" t="s">
        <v>943</v>
      </c>
      <c r="F245" s="200"/>
      <c r="G245" s="201"/>
      <c r="H245" s="202" t="s">
        <v>0</v>
      </c>
      <c r="I245" s="203"/>
      <c r="J245" s="203"/>
      <c r="K245" s="304"/>
      <c r="L245" s="302"/>
      <c r="M245" s="302">
        <f>IF(K245="x","Included in Sub Bid",G245*I245)</f>
        <v>0</v>
      </c>
      <c r="N245" s="16"/>
      <c r="O245" s="104"/>
      <c r="Q245" s="281"/>
      <c r="R245" s="281"/>
      <c r="S245" s="281"/>
      <c r="T245" s="281"/>
      <c r="U245" s="281"/>
    </row>
    <row r="246" spans="1:21" x14ac:dyDescent="0.3">
      <c r="A246" s="347" t="str">
        <f t="shared" si="59"/>
        <v>Exclude</v>
      </c>
      <c r="D246" s="427" t="s">
        <v>1294</v>
      </c>
      <c r="E246" s="199" t="s">
        <v>944</v>
      </c>
      <c r="F246" s="200"/>
      <c r="G246" s="201"/>
      <c r="H246" s="202" t="s">
        <v>0</v>
      </c>
      <c r="I246" s="203"/>
      <c r="J246" s="203"/>
      <c r="K246" s="304"/>
      <c r="L246" s="302"/>
      <c r="M246" s="302">
        <f>IF(K246="x","Included in Sub Bid",G246*I246)</f>
        <v>0</v>
      </c>
      <c r="N246" s="16"/>
      <c r="O246" s="104"/>
      <c r="Q246" s="281"/>
      <c r="R246" s="281"/>
      <c r="S246" s="281"/>
      <c r="T246" s="281"/>
      <c r="U246" s="281"/>
    </row>
    <row r="247" spans="1:21" x14ac:dyDescent="0.3">
      <c r="A247" s="347" t="str">
        <f t="shared" si="59"/>
        <v>Exclude</v>
      </c>
      <c r="D247" s="425"/>
      <c r="E247" s="39"/>
      <c r="F247" s="10"/>
      <c r="G247" s="18"/>
      <c r="H247" s="12"/>
      <c r="I247" s="16"/>
      <c r="J247" s="16"/>
      <c r="K247" s="304"/>
      <c r="L247" s="298"/>
      <c r="M247" s="298"/>
      <c r="N247" s="16"/>
      <c r="O247" s="114"/>
      <c r="Q247" s="281"/>
      <c r="R247" s="281"/>
      <c r="S247" s="281"/>
      <c r="T247" s="281"/>
      <c r="U247" s="281"/>
    </row>
    <row r="248" spans="1:21" x14ac:dyDescent="0.3">
      <c r="A248" s="347" t="str">
        <f t="shared" si="59"/>
        <v>Exclude</v>
      </c>
      <c r="D248" s="425"/>
      <c r="E248" s="39"/>
      <c r="F248" s="10"/>
      <c r="G248" s="18"/>
      <c r="H248" s="12"/>
      <c r="I248" s="16"/>
      <c r="J248" s="16"/>
      <c r="K248" s="436"/>
      <c r="L248" s="298"/>
      <c r="M248" s="298"/>
      <c r="N248" s="16"/>
      <c r="O248" s="104"/>
      <c r="Q248" s="281"/>
      <c r="R248" s="281"/>
      <c r="S248" s="281"/>
      <c r="T248" s="281"/>
      <c r="U248" s="281"/>
    </row>
    <row r="249" spans="1:21" s="55" customFormat="1" ht="17.25" customHeight="1" x14ac:dyDescent="0.3">
      <c r="A249" s="347" t="str">
        <f>IF(J249=0,"Exclude","x")</f>
        <v>Exclude</v>
      </c>
      <c r="D249" s="424">
        <v>32</v>
      </c>
      <c r="E249" s="69" t="s">
        <v>1207</v>
      </c>
      <c r="F249" s="56"/>
      <c r="G249" s="57"/>
      <c r="H249" s="58"/>
      <c r="I249" s="59"/>
      <c r="J249" s="60">
        <f>SUBTOTAL(9,J250:J265)</f>
        <v>0</v>
      </c>
      <c r="K249" s="59">
        <f>IFERROR(J249/$G$6,0)</f>
        <v>0</v>
      </c>
      <c r="L249" s="309"/>
      <c r="M249" s="60"/>
      <c r="N249" s="59">
        <f>SUM(M250:M265)</f>
        <v>0</v>
      </c>
      <c r="O249" s="435">
        <f>IFERROR(N249/$G$6,0)</f>
        <v>0</v>
      </c>
      <c r="Q249" s="284"/>
      <c r="R249" s="284"/>
      <c r="S249" s="284"/>
      <c r="T249" s="284"/>
      <c r="U249" s="284"/>
    </row>
    <row r="250" spans="1:21" x14ac:dyDescent="0.3">
      <c r="A250" s="347" t="str">
        <f t="shared" si="59"/>
        <v>Exclude</v>
      </c>
      <c r="D250" s="426" t="s">
        <v>1295</v>
      </c>
      <c r="E250" s="39" t="s">
        <v>1203</v>
      </c>
      <c r="F250" s="24"/>
      <c r="G250" s="292"/>
      <c r="H250" s="25"/>
      <c r="I250" s="293"/>
      <c r="J250" s="293"/>
      <c r="K250" s="301"/>
      <c r="L250" s="300">
        <v>0</v>
      </c>
      <c r="M250" s="301">
        <f>L250</f>
        <v>0</v>
      </c>
      <c r="N250" s="293"/>
      <c r="O250" s="294"/>
      <c r="Q250" s="282"/>
      <c r="R250" s="281"/>
      <c r="S250" s="283"/>
      <c r="T250" s="283"/>
      <c r="U250" s="283"/>
    </row>
    <row r="251" spans="1:21" x14ac:dyDescent="0.3">
      <c r="A251" s="347" t="str">
        <f t="shared" si="59"/>
        <v>Exclude</v>
      </c>
      <c r="D251" s="425" t="s">
        <v>1295</v>
      </c>
      <c r="E251" s="38" t="s">
        <v>763</v>
      </c>
      <c r="F251" s="10"/>
      <c r="G251" s="18"/>
      <c r="H251" s="20" t="s">
        <v>2</v>
      </c>
      <c r="I251" s="16">
        <v>450</v>
      </c>
      <c r="J251" s="16">
        <f>I251*G251</f>
        <v>0</v>
      </c>
      <c r="K251" s="304"/>
      <c r="L251" s="298"/>
      <c r="M251" s="298">
        <f t="shared" ref="M251:M261" si="60">IF(K251="x","Included in Sub Bid",J251)</f>
        <v>0</v>
      </c>
      <c r="N251" s="16"/>
      <c r="O251" s="104"/>
      <c r="Q251" s="281"/>
      <c r="R251" s="281"/>
      <c r="S251" s="281"/>
      <c r="T251" s="281"/>
      <c r="U251" s="281"/>
    </row>
    <row r="252" spans="1:21" x14ac:dyDescent="0.3">
      <c r="A252" s="347" t="str">
        <f t="shared" si="59"/>
        <v>Exclude</v>
      </c>
      <c r="D252" s="425" t="s">
        <v>1295</v>
      </c>
      <c r="E252" s="38" t="s">
        <v>764</v>
      </c>
      <c r="F252" s="10"/>
      <c r="G252" s="18"/>
      <c r="H252" s="20" t="s">
        <v>2</v>
      </c>
      <c r="I252" s="16">
        <v>250</v>
      </c>
      <c r="J252" s="16">
        <f>I252*G252</f>
        <v>0</v>
      </c>
      <c r="K252" s="304"/>
      <c r="L252" s="298"/>
      <c r="M252" s="298">
        <f t="shared" si="60"/>
        <v>0</v>
      </c>
      <c r="N252" s="16"/>
      <c r="O252" s="104"/>
      <c r="Q252" s="281"/>
      <c r="R252" s="281"/>
      <c r="S252" s="281"/>
      <c r="T252" s="281"/>
      <c r="U252" s="281"/>
    </row>
    <row r="253" spans="1:21" x14ac:dyDescent="0.3">
      <c r="A253" s="347" t="str">
        <f t="shared" si="59"/>
        <v>Exclude</v>
      </c>
      <c r="D253" s="425" t="s">
        <v>1295</v>
      </c>
      <c r="E253" s="38" t="s">
        <v>61</v>
      </c>
      <c r="F253" s="10"/>
      <c r="G253" s="18"/>
      <c r="H253" s="20" t="s">
        <v>2</v>
      </c>
      <c r="I253" s="16"/>
      <c r="J253" s="16">
        <f t="shared" ref="J253:J261" si="61">I253*G253</f>
        <v>0</v>
      </c>
      <c r="K253" s="304"/>
      <c r="L253" s="298"/>
      <c r="M253" s="298">
        <f t="shared" si="60"/>
        <v>0</v>
      </c>
      <c r="N253" s="16"/>
      <c r="O253" s="104"/>
      <c r="Q253" s="281"/>
      <c r="R253" s="281"/>
      <c r="S253" s="281"/>
      <c r="T253" s="281"/>
      <c r="U253" s="281"/>
    </row>
    <row r="254" spans="1:21" x14ac:dyDescent="0.3">
      <c r="A254" s="347" t="str">
        <f t="shared" si="59"/>
        <v>Exclude</v>
      </c>
      <c r="D254" s="425" t="s">
        <v>1295</v>
      </c>
      <c r="E254" s="38" t="s">
        <v>62</v>
      </c>
      <c r="F254" s="10"/>
      <c r="G254" s="18"/>
      <c r="H254" s="20" t="s">
        <v>2</v>
      </c>
      <c r="I254" s="16"/>
      <c r="J254" s="16">
        <f t="shared" si="61"/>
        <v>0</v>
      </c>
      <c r="K254" s="304"/>
      <c r="L254" s="298"/>
      <c r="M254" s="298">
        <f t="shared" si="60"/>
        <v>0</v>
      </c>
      <c r="N254" s="16"/>
      <c r="O254" s="104"/>
      <c r="Q254" s="281"/>
      <c r="R254" s="281"/>
      <c r="S254" s="281"/>
      <c r="T254" s="281"/>
      <c r="U254" s="281"/>
    </row>
    <row r="255" spans="1:21" x14ac:dyDescent="0.3">
      <c r="A255" s="347" t="str">
        <f t="shared" si="59"/>
        <v>Exclude</v>
      </c>
      <c r="D255" s="425" t="s">
        <v>1295</v>
      </c>
      <c r="E255" s="38" t="s">
        <v>63</v>
      </c>
      <c r="F255" s="10"/>
      <c r="G255" s="18"/>
      <c r="H255" s="20" t="s">
        <v>2</v>
      </c>
      <c r="I255" s="16">
        <v>10</v>
      </c>
      <c r="J255" s="16">
        <f t="shared" si="61"/>
        <v>0</v>
      </c>
      <c r="K255" s="304"/>
      <c r="L255" s="298"/>
      <c r="M255" s="298">
        <f t="shared" si="60"/>
        <v>0</v>
      </c>
      <c r="N255" s="16"/>
      <c r="O255" s="104"/>
      <c r="Q255" s="281"/>
      <c r="R255" s="281"/>
      <c r="S255" s="281"/>
      <c r="T255" s="281"/>
      <c r="U255" s="281"/>
    </row>
    <row r="256" spans="1:21" x14ac:dyDescent="0.3">
      <c r="A256" s="347" t="str">
        <f t="shared" si="59"/>
        <v>Exclude</v>
      </c>
      <c r="D256" s="425" t="s">
        <v>1295</v>
      </c>
      <c r="E256" s="38" t="s">
        <v>64</v>
      </c>
      <c r="F256" s="10"/>
      <c r="G256" s="18"/>
      <c r="H256" s="20" t="s">
        <v>2</v>
      </c>
      <c r="I256" s="16">
        <v>40</v>
      </c>
      <c r="J256" s="16">
        <f t="shared" si="61"/>
        <v>0</v>
      </c>
      <c r="K256" s="304"/>
      <c r="L256" s="298"/>
      <c r="M256" s="298">
        <f t="shared" si="60"/>
        <v>0</v>
      </c>
      <c r="N256" s="16"/>
      <c r="O256" s="104"/>
      <c r="Q256" s="281"/>
      <c r="R256" s="281"/>
      <c r="S256" s="281"/>
      <c r="T256" s="281"/>
      <c r="U256" s="281"/>
    </row>
    <row r="257" spans="1:21" x14ac:dyDescent="0.3">
      <c r="A257" s="347" t="str">
        <f t="shared" si="59"/>
        <v>Exclude</v>
      </c>
      <c r="D257" s="425" t="s">
        <v>1295</v>
      </c>
      <c r="E257" s="40" t="s">
        <v>766</v>
      </c>
      <c r="F257" s="10"/>
      <c r="G257" s="18"/>
      <c r="H257" s="20" t="s">
        <v>3</v>
      </c>
      <c r="I257" s="16">
        <v>0.65</v>
      </c>
      <c r="J257" s="16">
        <f t="shared" si="61"/>
        <v>0</v>
      </c>
      <c r="K257" s="304"/>
      <c r="L257" s="298"/>
      <c r="M257" s="298">
        <f t="shared" si="60"/>
        <v>0</v>
      </c>
      <c r="N257" s="16"/>
      <c r="O257" s="104"/>
      <c r="Q257" s="281"/>
      <c r="R257" s="281"/>
      <c r="S257" s="281"/>
      <c r="T257" s="281"/>
      <c r="U257" s="281"/>
    </row>
    <row r="258" spans="1:21" x14ac:dyDescent="0.3">
      <c r="A258" s="347" t="str">
        <f t="shared" si="59"/>
        <v>Exclude</v>
      </c>
      <c r="D258" s="425" t="s">
        <v>1295</v>
      </c>
      <c r="E258" s="40" t="s">
        <v>343</v>
      </c>
      <c r="F258" s="10"/>
      <c r="G258" s="18"/>
      <c r="H258" s="20" t="s">
        <v>2</v>
      </c>
      <c r="I258" s="16">
        <v>50</v>
      </c>
      <c r="J258" s="16">
        <f t="shared" si="61"/>
        <v>0</v>
      </c>
      <c r="K258" s="304"/>
      <c r="L258" s="298"/>
      <c r="M258" s="298">
        <f t="shared" si="60"/>
        <v>0</v>
      </c>
      <c r="N258" s="16"/>
      <c r="O258" s="104"/>
      <c r="Q258" s="281"/>
      <c r="R258" s="281"/>
      <c r="S258" s="281"/>
      <c r="T258" s="281"/>
      <c r="U258" s="281"/>
    </row>
    <row r="259" spans="1:21" x14ac:dyDescent="0.3">
      <c r="A259" s="347" t="str">
        <f t="shared" si="59"/>
        <v>Exclude</v>
      </c>
      <c r="D259" s="425" t="s">
        <v>1295</v>
      </c>
      <c r="E259" s="40" t="s">
        <v>197</v>
      </c>
      <c r="F259" s="10"/>
      <c r="G259" s="18"/>
      <c r="H259" s="20" t="s">
        <v>2</v>
      </c>
      <c r="I259" s="16">
        <v>100</v>
      </c>
      <c r="J259" s="16">
        <f t="shared" si="61"/>
        <v>0</v>
      </c>
      <c r="K259" s="304"/>
      <c r="L259" s="298"/>
      <c r="M259" s="298">
        <f t="shared" si="60"/>
        <v>0</v>
      </c>
      <c r="N259" s="16"/>
      <c r="O259" s="104"/>
      <c r="Q259" s="281"/>
      <c r="R259" s="281"/>
      <c r="S259" s="281"/>
      <c r="T259" s="281"/>
      <c r="U259" s="281"/>
    </row>
    <row r="260" spans="1:21" x14ac:dyDescent="0.3">
      <c r="A260" s="347" t="str">
        <f t="shared" si="59"/>
        <v>Exclude</v>
      </c>
      <c r="D260" s="425" t="s">
        <v>1295</v>
      </c>
      <c r="E260" s="40" t="s">
        <v>765</v>
      </c>
      <c r="F260" s="10"/>
      <c r="G260" s="18">
        <v>1</v>
      </c>
      <c r="H260" s="20" t="s">
        <v>0</v>
      </c>
      <c r="I260" s="16">
        <f>(J252+J255+J256+J257+J259)*0.33</f>
        <v>0</v>
      </c>
      <c r="J260" s="16">
        <f t="shared" ref="J260" si="62">I260*G260</f>
        <v>0</v>
      </c>
      <c r="K260" s="304"/>
      <c r="L260" s="298"/>
      <c r="M260" s="298">
        <f t="shared" si="60"/>
        <v>0</v>
      </c>
      <c r="N260" s="16"/>
      <c r="O260" s="104"/>
      <c r="Q260" s="281"/>
      <c r="R260" s="281"/>
      <c r="S260" s="281"/>
      <c r="T260" s="281"/>
      <c r="U260" s="281"/>
    </row>
    <row r="261" spans="1:21" x14ac:dyDescent="0.3">
      <c r="A261" s="347" t="str">
        <f t="shared" si="59"/>
        <v>Exclude</v>
      </c>
      <c r="D261" s="425" t="s">
        <v>1295</v>
      </c>
      <c r="E261" s="40" t="s">
        <v>198</v>
      </c>
      <c r="F261" s="10"/>
      <c r="G261" s="18"/>
      <c r="H261" s="20" t="s">
        <v>2</v>
      </c>
      <c r="I261" s="16">
        <v>200</v>
      </c>
      <c r="J261" s="16">
        <f t="shared" si="61"/>
        <v>0</v>
      </c>
      <c r="K261" s="304"/>
      <c r="L261" s="298"/>
      <c r="M261" s="298">
        <f t="shared" si="60"/>
        <v>0</v>
      </c>
      <c r="N261" s="16"/>
      <c r="O261" s="104"/>
      <c r="Q261" s="281"/>
      <c r="R261" s="281"/>
      <c r="S261" s="281"/>
      <c r="T261" s="281"/>
      <c r="U261" s="281"/>
    </row>
    <row r="262" spans="1:21" x14ac:dyDescent="0.3">
      <c r="A262" s="347" t="str">
        <f t="shared" si="59"/>
        <v>Exclude</v>
      </c>
      <c r="D262" s="427" t="s">
        <v>1295</v>
      </c>
      <c r="E262" s="199" t="s">
        <v>943</v>
      </c>
      <c r="F262" s="200"/>
      <c r="G262" s="201"/>
      <c r="H262" s="202" t="s">
        <v>0</v>
      </c>
      <c r="I262" s="203"/>
      <c r="J262" s="203"/>
      <c r="K262" s="304"/>
      <c r="L262" s="302"/>
      <c r="M262" s="302">
        <f>IF(K262="x","Included in Sub Bid",G262*I262)</f>
        <v>0</v>
      </c>
      <c r="N262" s="16"/>
      <c r="O262" s="104"/>
      <c r="Q262" s="281"/>
      <c r="R262" s="281"/>
      <c r="S262" s="281"/>
      <c r="T262" s="281"/>
      <c r="U262" s="281"/>
    </row>
    <row r="263" spans="1:21" x14ac:dyDescent="0.3">
      <c r="A263" s="347" t="str">
        <f t="shared" si="59"/>
        <v>Exclude</v>
      </c>
      <c r="D263" s="427" t="s">
        <v>1295</v>
      </c>
      <c r="E263" s="199" t="s">
        <v>944</v>
      </c>
      <c r="F263" s="200"/>
      <c r="G263" s="201"/>
      <c r="H263" s="202" t="s">
        <v>0</v>
      </c>
      <c r="I263" s="203"/>
      <c r="J263" s="203"/>
      <c r="K263" s="304"/>
      <c r="L263" s="302"/>
      <c r="M263" s="302">
        <f>IF(K263="x","Included in Sub Bid",G263*I263)</f>
        <v>0</v>
      </c>
      <c r="N263" s="16"/>
      <c r="O263" s="104"/>
      <c r="Q263" s="281"/>
      <c r="R263" s="281"/>
      <c r="S263" s="281"/>
      <c r="T263" s="281"/>
      <c r="U263" s="281"/>
    </row>
    <row r="264" spans="1:21" x14ac:dyDescent="0.3">
      <c r="A264" s="347" t="str">
        <f t="shared" si="59"/>
        <v>Exclude</v>
      </c>
      <c r="D264" s="425"/>
      <c r="E264" s="39"/>
      <c r="F264" s="10"/>
      <c r="G264" s="18"/>
      <c r="H264" s="12"/>
      <c r="I264" s="16"/>
      <c r="J264" s="16"/>
      <c r="K264" s="304"/>
      <c r="L264" s="298"/>
      <c r="M264" s="298"/>
      <c r="N264" s="16"/>
      <c r="O264" s="114"/>
      <c r="Q264" s="281"/>
      <c r="R264" s="281"/>
      <c r="S264" s="281"/>
      <c r="T264" s="281"/>
      <c r="U264" s="281"/>
    </row>
    <row r="265" spans="1:21" x14ac:dyDescent="0.3">
      <c r="A265" s="347" t="str">
        <f t="shared" si="59"/>
        <v>Exclude</v>
      </c>
      <c r="D265" s="425"/>
      <c r="E265" s="39"/>
      <c r="F265" s="10"/>
      <c r="G265" s="18"/>
      <c r="H265" s="12"/>
      <c r="I265" s="16"/>
      <c r="J265" s="16"/>
      <c r="K265" s="436"/>
      <c r="L265" s="298"/>
      <c r="M265" s="298"/>
      <c r="N265" s="16"/>
      <c r="O265" s="114"/>
      <c r="Q265" s="281"/>
      <c r="R265" s="281"/>
      <c r="S265" s="281"/>
      <c r="T265" s="281"/>
      <c r="U265" s="281"/>
    </row>
    <row r="266" spans="1:21" s="55" customFormat="1" ht="17.25" customHeight="1" x14ac:dyDescent="0.3">
      <c r="A266" s="347" t="str">
        <f>IF(J266=0,"Exclude","x")</f>
        <v>Exclude</v>
      </c>
      <c r="D266" s="424">
        <v>33</v>
      </c>
      <c r="E266" s="69" t="s">
        <v>660</v>
      </c>
      <c r="F266" s="56"/>
      <c r="G266" s="57"/>
      <c r="H266" s="58"/>
      <c r="I266" s="59"/>
      <c r="J266" s="60">
        <f>SUBTOTAL(9,J267:J272)</f>
        <v>0</v>
      </c>
      <c r="K266" s="59">
        <f>IFERROR(J266/$G$6,0)</f>
        <v>0</v>
      </c>
      <c r="L266" s="309"/>
      <c r="M266" s="60"/>
      <c r="N266" s="59">
        <f>SUM(M267:M272)</f>
        <v>0</v>
      </c>
      <c r="O266" s="435">
        <f>IFERROR(N266/$G$6,0)</f>
        <v>0</v>
      </c>
      <c r="Q266" s="284"/>
      <c r="R266" s="284"/>
      <c r="S266" s="284"/>
      <c r="T266" s="284"/>
      <c r="U266" s="284"/>
    </row>
    <row r="267" spans="1:21" x14ac:dyDescent="0.3">
      <c r="A267" s="347" t="str">
        <f t="shared" si="59"/>
        <v>Exclude</v>
      </c>
      <c r="D267" s="426" t="s">
        <v>1296</v>
      </c>
      <c r="E267" s="39" t="s">
        <v>1203</v>
      </c>
      <c r="F267" s="24"/>
      <c r="G267" s="292"/>
      <c r="H267" s="25"/>
      <c r="I267" s="293"/>
      <c r="J267" s="293"/>
      <c r="K267" s="301"/>
      <c r="L267" s="300">
        <v>0</v>
      </c>
      <c r="M267" s="301">
        <f>L267</f>
        <v>0</v>
      </c>
      <c r="N267" s="293"/>
      <c r="O267" s="294"/>
      <c r="Q267" s="282"/>
      <c r="R267" s="281"/>
      <c r="S267" s="283"/>
      <c r="T267" s="283"/>
      <c r="U267" s="283"/>
    </row>
    <row r="268" spans="1:21" x14ac:dyDescent="0.3">
      <c r="A268" s="347" t="str">
        <f t="shared" si="59"/>
        <v>Exclude</v>
      </c>
      <c r="D268" s="425" t="s">
        <v>1296</v>
      </c>
      <c r="E268" s="38" t="s">
        <v>1087</v>
      </c>
      <c r="F268" s="10"/>
      <c r="G268" s="18"/>
      <c r="H268" s="19" t="s">
        <v>3</v>
      </c>
      <c r="I268" s="260">
        <v>28</v>
      </c>
      <c r="J268" s="16">
        <f t="shared" ref="J268:J270" si="63">G268*I268</f>
        <v>0</v>
      </c>
      <c r="K268" s="304"/>
      <c r="L268" s="298"/>
      <c r="M268" s="298">
        <f t="shared" ref="M268:M270" si="64">IF(K268="x","Included in Sub Bid",J268)</f>
        <v>0</v>
      </c>
      <c r="N268" s="16"/>
      <c r="O268" s="114"/>
      <c r="Q268" s="281"/>
      <c r="R268" s="281"/>
      <c r="S268" s="281"/>
      <c r="T268" s="281"/>
      <c r="U268" s="281"/>
    </row>
    <row r="269" spans="1:21" x14ac:dyDescent="0.3">
      <c r="A269" s="347" t="str">
        <f t="shared" si="59"/>
        <v>Exclude</v>
      </c>
      <c r="D269" s="425" t="s">
        <v>1296</v>
      </c>
      <c r="E269" s="38" t="s">
        <v>1088</v>
      </c>
      <c r="F269" s="10"/>
      <c r="G269" s="18"/>
      <c r="H269" s="19" t="s">
        <v>3</v>
      </c>
      <c r="I269" s="260">
        <v>36</v>
      </c>
      <c r="J269" s="16">
        <f t="shared" si="63"/>
        <v>0</v>
      </c>
      <c r="K269" s="304"/>
      <c r="L269" s="298"/>
      <c r="M269" s="298">
        <f t="shared" si="64"/>
        <v>0</v>
      </c>
      <c r="N269" s="16"/>
      <c r="O269" s="114"/>
      <c r="Q269" s="281"/>
      <c r="R269" s="281"/>
      <c r="S269" s="281"/>
      <c r="T269" s="281"/>
      <c r="U269" s="281"/>
    </row>
    <row r="270" spans="1:21" x14ac:dyDescent="0.3">
      <c r="A270" s="347" t="str">
        <f t="shared" si="59"/>
        <v>Exclude</v>
      </c>
      <c r="D270" s="425" t="s">
        <v>1296</v>
      </c>
      <c r="E270" s="38" t="s">
        <v>1089</v>
      </c>
      <c r="F270" s="10"/>
      <c r="G270" s="18"/>
      <c r="H270" s="19" t="s">
        <v>3</v>
      </c>
      <c r="I270" s="260">
        <v>44</v>
      </c>
      <c r="J270" s="16">
        <f t="shared" si="63"/>
        <v>0</v>
      </c>
      <c r="K270" s="304"/>
      <c r="L270" s="298"/>
      <c r="M270" s="298">
        <f t="shared" si="64"/>
        <v>0</v>
      </c>
      <c r="N270" s="16"/>
      <c r="O270" s="114"/>
      <c r="Q270" s="281"/>
      <c r="R270" s="281"/>
      <c r="S270" s="281"/>
      <c r="T270" s="281"/>
      <c r="U270" s="281"/>
    </row>
    <row r="271" spans="1:21" x14ac:dyDescent="0.3">
      <c r="A271" s="347" t="str">
        <f t="shared" si="59"/>
        <v>Exclude</v>
      </c>
      <c r="D271" s="425"/>
      <c r="E271" s="39"/>
      <c r="F271" s="10"/>
      <c r="G271" s="18"/>
      <c r="H271" s="12"/>
      <c r="I271" s="16"/>
      <c r="J271" s="16"/>
      <c r="K271" s="304"/>
      <c r="L271" s="298"/>
      <c r="M271" s="298"/>
      <c r="N271" s="16"/>
      <c r="O271" s="114"/>
      <c r="Q271" s="281"/>
      <c r="R271" s="281"/>
      <c r="S271" s="281"/>
      <c r="T271" s="281"/>
      <c r="U271" s="281"/>
    </row>
    <row r="272" spans="1:21" x14ac:dyDescent="0.3">
      <c r="A272" s="347" t="str">
        <f t="shared" si="59"/>
        <v>Exclude</v>
      </c>
      <c r="D272" s="425"/>
      <c r="E272" s="39"/>
      <c r="F272" s="10"/>
      <c r="G272" s="18"/>
      <c r="H272" s="12"/>
      <c r="I272" s="16"/>
      <c r="J272" s="16"/>
      <c r="K272" s="436"/>
      <c r="L272" s="298"/>
      <c r="M272" s="298"/>
      <c r="N272" s="16"/>
      <c r="O272" s="114"/>
      <c r="Q272" s="281"/>
      <c r="R272" s="281"/>
      <c r="S272" s="281"/>
      <c r="T272" s="281"/>
      <c r="U272" s="281"/>
    </row>
    <row r="273" spans="1:21" s="55" customFormat="1" ht="17.25" customHeight="1" x14ac:dyDescent="0.3">
      <c r="A273" s="347" t="str">
        <f>IF(J273=0,"Exclude","x")</f>
        <v>Exclude</v>
      </c>
      <c r="D273" s="424" t="s">
        <v>820</v>
      </c>
      <c r="E273" s="69" t="s">
        <v>661</v>
      </c>
      <c r="F273" s="56"/>
      <c r="G273" s="57"/>
      <c r="H273" s="58"/>
      <c r="I273" s="59"/>
      <c r="J273" s="60">
        <f>SUBTOTAL(9,J274:J284)</f>
        <v>0</v>
      </c>
      <c r="K273" s="59">
        <f>IFERROR(J273/$G$6,0)</f>
        <v>0</v>
      </c>
      <c r="L273" s="309"/>
      <c r="M273" s="60"/>
      <c r="N273" s="59">
        <f>SUM(M274:M284)</f>
        <v>0</v>
      </c>
      <c r="O273" s="435">
        <f>IFERROR(N273/$G$6,0)</f>
        <v>0</v>
      </c>
      <c r="Q273" s="284"/>
      <c r="R273" s="284"/>
      <c r="S273" s="284"/>
      <c r="T273" s="284"/>
      <c r="U273" s="284"/>
    </row>
    <row r="274" spans="1:21" x14ac:dyDescent="0.3">
      <c r="A274" s="347" t="str">
        <f t="shared" si="59"/>
        <v>Exclude</v>
      </c>
      <c r="D274" s="426" t="s">
        <v>1297</v>
      </c>
      <c r="E274" s="39" t="s">
        <v>1203</v>
      </c>
      <c r="F274" s="24"/>
      <c r="G274" s="292"/>
      <c r="H274" s="25"/>
      <c r="I274" s="293"/>
      <c r="J274" s="293"/>
      <c r="K274" s="301"/>
      <c r="L274" s="300">
        <v>0</v>
      </c>
      <c r="M274" s="301">
        <f>L274</f>
        <v>0</v>
      </c>
      <c r="N274" s="293"/>
      <c r="O274" s="294"/>
      <c r="Q274" s="282"/>
      <c r="R274" s="281"/>
      <c r="S274" s="283"/>
      <c r="T274" s="283"/>
      <c r="U274" s="283"/>
    </row>
    <row r="275" spans="1:21" x14ac:dyDescent="0.3">
      <c r="A275" s="347" t="str">
        <f t="shared" si="59"/>
        <v>Exclude</v>
      </c>
      <c r="D275" s="425" t="s">
        <v>1297</v>
      </c>
      <c r="E275" s="38" t="s">
        <v>188</v>
      </c>
      <c r="F275" s="10" t="s">
        <v>6</v>
      </c>
      <c r="G275" s="21">
        <f>+'Project Info Input'!C28</f>
        <v>0</v>
      </c>
      <c r="H275" s="19" t="s">
        <v>37</v>
      </c>
      <c r="I275" s="16"/>
      <c r="J275" s="16" t="s">
        <v>1197</v>
      </c>
      <c r="K275" s="304"/>
      <c r="L275" s="298"/>
      <c r="M275" s="298" t="str">
        <f t="shared" ref="M275:M280" si="65">IF(K275="x","Included in Sub Bid",J275)</f>
        <v>In Allowances</v>
      </c>
      <c r="N275" s="16"/>
      <c r="O275" s="114"/>
      <c r="Q275" s="281"/>
      <c r="R275" s="281"/>
      <c r="S275" s="281"/>
      <c r="T275" s="281"/>
      <c r="U275" s="281"/>
    </row>
    <row r="276" spans="1:21" x14ac:dyDescent="0.3">
      <c r="A276" s="347" t="str">
        <f t="shared" si="59"/>
        <v>Exclude</v>
      </c>
      <c r="D276" s="425" t="s">
        <v>1297</v>
      </c>
      <c r="E276" s="38" t="s">
        <v>68</v>
      </c>
      <c r="F276" s="10"/>
      <c r="G276" s="11"/>
      <c r="H276" s="19" t="s">
        <v>2</v>
      </c>
      <c r="I276" s="16"/>
      <c r="J276" s="16">
        <f t="shared" ref="J276:J280" si="66">G276*I276</f>
        <v>0</v>
      </c>
      <c r="K276" s="304"/>
      <c r="L276" s="298"/>
      <c r="M276" s="298">
        <f t="shared" si="65"/>
        <v>0</v>
      </c>
      <c r="N276" s="16"/>
      <c r="O276" s="114"/>
      <c r="Q276" s="281"/>
      <c r="R276" s="281"/>
      <c r="S276" s="281"/>
      <c r="T276" s="281"/>
      <c r="U276" s="281"/>
    </row>
    <row r="277" spans="1:21" x14ac:dyDescent="0.3">
      <c r="A277" s="347" t="str">
        <f t="shared" si="59"/>
        <v>Exclude</v>
      </c>
      <c r="D277" s="425" t="s">
        <v>1297</v>
      </c>
      <c r="E277" s="38" t="s">
        <v>68</v>
      </c>
      <c r="F277" s="10"/>
      <c r="G277" s="11"/>
      <c r="H277" s="19" t="s">
        <v>2</v>
      </c>
      <c r="I277" s="16"/>
      <c r="J277" s="16">
        <f t="shared" si="66"/>
        <v>0</v>
      </c>
      <c r="K277" s="304"/>
      <c r="L277" s="298"/>
      <c r="M277" s="298">
        <f t="shared" si="65"/>
        <v>0</v>
      </c>
      <c r="N277" s="16"/>
      <c r="O277" s="114"/>
      <c r="Q277" s="281"/>
      <c r="R277" s="281"/>
      <c r="S277" s="281"/>
      <c r="T277" s="281"/>
      <c r="U277" s="281"/>
    </row>
    <row r="278" spans="1:21" ht="12.75" customHeight="1" x14ac:dyDescent="0.3">
      <c r="A278" s="347" t="str">
        <f t="shared" si="59"/>
        <v>Exclude</v>
      </c>
      <c r="D278" s="425" t="s">
        <v>1297</v>
      </c>
      <c r="E278" s="38" t="s">
        <v>69</v>
      </c>
      <c r="F278" s="10"/>
      <c r="G278" s="11"/>
      <c r="H278" s="19" t="s">
        <v>2</v>
      </c>
      <c r="I278" s="16"/>
      <c r="J278" s="16">
        <f t="shared" si="66"/>
        <v>0</v>
      </c>
      <c r="K278" s="304"/>
      <c r="L278" s="298"/>
      <c r="M278" s="298">
        <f t="shared" si="65"/>
        <v>0</v>
      </c>
      <c r="N278" s="16"/>
      <c r="O278" s="114"/>
      <c r="Q278" s="281"/>
      <c r="R278" s="281"/>
      <c r="S278" s="281"/>
      <c r="T278" s="281"/>
      <c r="U278" s="281"/>
    </row>
    <row r="279" spans="1:21" x14ac:dyDescent="0.3">
      <c r="A279" s="347" t="str">
        <f t="shared" si="59"/>
        <v>Exclude</v>
      </c>
      <c r="D279" s="425" t="s">
        <v>1297</v>
      </c>
      <c r="E279" s="38" t="s">
        <v>70</v>
      </c>
      <c r="F279" s="10"/>
      <c r="G279" s="11"/>
      <c r="H279" s="19" t="s">
        <v>37</v>
      </c>
      <c r="I279" s="16"/>
      <c r="J279" s="16">
        <f t="shared" si="66"/>
        <v>0</v>
      </c>
      <c r="K279" s="304"/>
      <c r="L279" s="298"/>
      <c r="M279" s="298">
        <f t="shared" si="65"/>
        <v>0</v>
      </c>
      <c r="N279" s="16"/>
      <c r="O279" s="114"/>
      <c r="Q279" s="281"/>
      <c r="R279" s="281"/>
      <c r="S279" s="281"/>
      <c r="T279" s="281"/>
      <c r="U279" s="281"/>
    </row>
    <row r="280" spans="1:21" x14ac:dyDescent="0.3">
      <c r="A280" s="347" t="str">
        <f t="shared" si="59"/>
        <v>Exclude</v>
      </c>
      <c r="D280" s="425" t="s">
        <v>1297</v>
      </c>
      <c r="E280" s="38" t="s">
        <v>71</v>
      </c>
      <c r="F280" s="10"/>
      <c r="G280" s="11"/>
      <c r="H280" s="19" t="s">
        <v>37</v>
      </c>
      <c r="I280" s="16"/>
      <c r="J280" s="16">
        <f t="shared" si="66"/>
        <v>0</v>
      </c>
      <c r="K280" s="304"/>
      <c r="L280" s="298"/>
      <c r="M280" s="298">
        <f t="shared" si="65"/>
        <v>0</v>
      </c>
      <c r="N280" s="16"/>
      <c r="O280" s="114"/>
      <c r="Q280" s="281"/>
      <c r="R280" s="281"/>
      <c r="S280" s="281"/>
      <c r="T280" s="281"/>
      <c r="U280" s="281"/>
    </row>
    <row r="281" spans="1:21" x14ac:dyDescent="0.3">
      <c r="A281" s="347" t="str">
        <f t="shared" si="59"/>
        <v>Exclude</v>
      </c>
      <c r="D281" s="427" t="s">
        <v>1297</v>
      </c>
      <c r="E281" s="199" t="s">
        <v>943</v>
      </c>
      <c r="F281" s="200"/>
      <c r="G281" s="201"/>
      <c r="H281" s="202" t="s">
        <v>0</v>
      </c>
      <c r="I281" s="203"/>
      <c r="J281" s="203"/>
      <c r="K281" s="304"/>
      <c r="L281" s="302"/>
      <c r="M281" s="302">
        <f>IF(K281="x","Included in Sub Bid",G281*I281)</f>
        <v>0</v>
      </c>
      <c r="N281" s="16"/>
      <c r="O281" s="104"/>
      <c r="Q281" s="281"/>
      <c r="R281" s="281"/>
      <c r="S281" s="281"/>
      <c r="T281" s="281"/>
      <c r="U281" s="281"/>
    </row>
    <row r="282" spans="1:21" x14ac:dyDescent="0.3">
      <c r="A282" s="347" t="str">
        <f t="shared" si="59"/>
        <v>Exclude</v>
      </c>
      <c r="D282" s="427" t="s">
        <v>1297</v>
      </c>
      <c r="E282" s="199" t="s">
        <v>944</v>
      </c>
      <c r="F282" s="200"/>
      <c r="G282" s="201"/>
      <c r="H282" s="202" t="s">
        <v>0</v>
      </c>
      <c r="I282" s="203"/>
      <c r="J282" s="203"/>
      <c r="K282" s="304"/>
      <c r="L282" s="302"/>
      <c r="M282" s="302">
        <f>IF(K282="x","Included in Sub Bid",G282*I282)</f>
        <v>0</v>
      </c>
      <c r="N282" s="16"/>
      <c r="O282" s="104"/>
      <c r="Q282" s="281"/>
      <c r="R282" s="281"/>
      <c r="S282" s="281"/>
      <c r="T282" s="281"/>
      <c r="U282" s="281"/>
    </row>
    <row r="283" spans="1:21" x14ac:dyDescent="0.3">
      <c r="A283" s="347" t="str">
        <f t="shared" si="59"/>
        <v>Exclude</v>
      </c>
      <c r="D283" s="427"/>
      <c r="E283" s="199"/>
      <c r="F283" s="200"/>
      <c r="G283" s="201"/>
      <c r="H283" s="202"/>
      <c r="I283" s="203"/>
      <c r="J283" s="203"/>
      <c r="K283" s="304"/>
      <c r="L283" s="302"/>
      <c r="M283" s="298"/>
      <c r="N283" s="16"/>
      <c r="O283" s="104"/>
      <c r="Q283" s="281"/>
      <c r="R283" s="281"/>
      <c r="S283" s="281"/>
      <c r="T283" s="281"/>
      <c r="U283" s="281"/>
    </row>
    <row r="284" spans="1:21" x14ac:dyDescent="0.3">
      <c r="A284" s="347" t="str">
        <f t="shared" si="59"/>
        <v>Exclude</v>
      </c>
      <c r="D284" s="425"/>
      <c r="E284" s="36"/>
      <c r="F284" s="10"/>
      <c r="G284" s="18"/>
      <c r="H284" s="12"/>
      <c r="I284" s="16"/>
      <c r="J284" s="16"/>
      <c r="K284" s="436"/>
      <c r="L284" s="302"/>
      <c r="M284" s="298"/>
      <c r="N284" s="16"/>
      <c r="O284" s="104"/>
      <c r="Q284" s="281"/>
      <c r="R284" s="281"/>
      <c r="S284" s="281"/>
      <c r="T284" s="281"/>
      <c r="U284" s="281"/>
    </row>
    <row r="285" spans="1:21" s="55" customFormat="1" ht="17.25" customHeight="1" x14ac:dyDescent="0.3">
      <c r="A285" s="347" t="str">
        <f>IF(J285=0,"Exclude","x")</f>
        <v>Exclude</v>
      </c>
      <c r="D285" s="424">
        <v>32</v>
      </c>
      <c r="E285" s="69" t="s">
        <v>1084</v>
      </c>
      <c r="F285" s="56"/>
      <c r="G285" s="57"/>
      <c r="H285" s="58"/>
      <c r="I285" s="59"/>
      <c r="J285" s="60">
        <f>SUBTOTAL(9,J286:J300)</f>
        <v>0</v>
      </c>
      <c r="K285" s="59">
        <f>IFERROR(J285/$G$6,0)</f>
        <v>0</v>
      </c>
      <c r="L285" s="309"/>
      <c r="M285" s="60"/>
      <c r="N285" s="59">
        <f>SUM(M286:M300)</f>
        <v>0</v>
      </c>
      <c r="O285" s="435">
        <f>IFERROR(N285/$G$6,0)</f>
        <v>0</v>
      </c>
      <c r="Q285" s="284"/>
      <c r="R285" s="284"/>
      <c r="S285" s="284"/>
      <c r="T285" s="284"/>
      <c r="U285" s="284"/>
    </row>
    <row r="286" spans="1:21" x14ac:dyDescent="0.3">
      <c r="A286" s="347" t="str">
        <f t="shared" si="59"/>
        <v>Exclude</v>
      </c>
      <c r="D286" s="426" t="s">
        <v>1298</v>
      </c>
      <c r="E286" s="39" t="s">
        <v>1203</v>
      </c>
      <c r="F286" s="24"/>
      <c r="G286" s="292"/>
      <c r="H286" s="25"/>
      <c r="I286" s="293"/>
      <c r="J286" s="293"/>
      <c r="K286" s="301"/>
      <c r="L286" s="300">
        <v>0</v>
      </c>
      <c r="M286" s="301">
        <f>L286</f>
        <v>0</v>
      </c>
      <c r="N286" s="293"/>
      <c r="O286" s="294"/>
      <c r="Q286" s="282"/>
      <c r="R286" s="281"/>
      <c r="S286" s="283"/>
      <c r="T286" s="283"/>
      <c r="U286" s="283"/>
    </row>
    <row r="287" spans="1:21" x14ac:dyDescent="0.3">
      <c r="A287" s="347" t="str">
        <f t="shared" si="59"/>
        <v>Exclude</v>
      </c>
      <c r="D287" s="425" t="s">
        <v>1298</v>
      </c>
      <c r="E287" s="38" t="s">
        <v>1091</v>
      </c>
      <c r="F287" s="22" t="s">
        <v>537</v>
      </c>
      <c r="G287" s="18"/>
      <c r="H287" s="20" t="s">
        <v>3</v>
      </c>
      <c r="I287" s="16">
        <v>25</v>
      </c>
      <c r="J287" s="16">
        <f>G287*I287</f>
        <v>0</v>
      </c>
      <c r="K287" s="304"/>
      <c r="L287" s="298"/>
      <c r="M287" s="298">
        <f t="shared" ref="M287:M296" si="67">IF(K287="x","Included in Sub Bid",J287)</f>
        <v>0</v>
      </c>
      <c r="N287" s="16"/>
      <c r="O287" s="114"/>
      <c r="Q287" s="281"/>
      <c r="R287" s="281"/>
      <c r="S287" s="281"/>
      <c r="T287" s="281"/>
      <c r="U287" s="281"/>
    </row>
    <row r="288" spans="1:21" x14ac:dyDescent="0.3">
      <c r="A288" s="347" t="str">
        <f t="shared" si="59"/>
        <v>Exclude</v>
      </c>
      <c r="D288" s="425" t="s">
        <v>1298</v>
      </c>
      <c r="E288" s="38" t="s">
        <v>1090</v>
      </c>
      <c r="F288" s="22" t="s">
        <v>362</v>
      </c>
      <c r="G288" s="18"/>
      <c r="H288" s="20" t="s">
        <v>3</v>
      </c>
      <c r="I288" s="16">
        <v>30</v>
      </c>
      <c r="J288" s="16">
        <f t="shared" ref="J288:J290" si="68">G288*I288</f>
        <v>0</v>
      </c>
      <c r="K288" s="304"/>
      <c r="L288" s="298"/>
      <c r="M288" s="298">
        <f t="shared" si="67"/>
        <v>0</v>
      </c>
      <c r="N288" s="16"/>
      <c r="O288" s="114"/>
      <c r="Q288" s="281"/>
      <c r="R288" s="281"/>
      <c r="S288" s="281"/>
      <c r="T288" s="281"/>
      <c r="U288" s="281"/>
    </row>
    <row r="289" spans="1:21" x14ac:dyDescent="0.3">
      <c r="A289" s="347" t="str">
        <f t="shared" si="59"/>
        <v>Exclude</v>
      </c>
      <c r="D289" s="425" t="s">
        <v>1298</v>
      </c>
      <c r="E289" s="38" t="s">
        <v>1092</v>
      </c>
      <c r="F289" s="22" t="s">
        <v>362</v>
      </c>
      <c r="G289" s="18"/>
      <c r="H289" s="20" t="s">
        <v>3</v>
      </c>
      <c r="I289" s="16">
        <v>35</v>
      </c>
      <c r="J289" s="16">
        <f t="shared" si="68"/>
        <v>0</v>
      </c>
      <c r="K289" s="304"/>
      <c r="L289" s="298"/>
      <c r="M289" s="298">
        <f t="shared" si="67"/>
        <v>0</v>
      </c>
      <c r="N289" s="16"/>
      <c r="O289" s="114"/>
      <c r="Q289" s="281"/>
      <c r="R289" s="281"/>
      <c r="S289" s="281"/>
      <c r="T289" s="281"/>
      <c r="U289" s="281"/>
    </row>
    <row r="290" spans="1:21" x14ac:dyDescent="0.3">
      <c r="A290" s="347" t="str">
        <f t="shared" si="59"/>
        <v>Exclude</v>
      </c>
      <c r="D290" s="425" t="s">
        <v>1298</v>
      </c>
      <c r="E290" s="38" t="s">
        <v>767</v>
      </c>
      <c r="F290" s="22"/>
      <c r="G290" s="18"/>
      <c r="H290" s="20" t="s">
        <v>2</v>
      </c>
      <c r="I290" s="16">
        <v>2000</v>
      </c>
      <c r="J290" s="16">
        <f t="shared" si="68"/>
        <v>0</v>
      </c>
      <c r="K290" s="304"/>
      <c r="L290" s="298"/>
      <c r="M290" s="298">
        <f t="shared" si="67"/>
        <v>0</v>
      </c>
      <c r="N290" s="16"/>
      <c r="O290" s="114"/>
      <c r="Q290" s="281"/>
      <c r="R290" s="281"/>
      <c r="S290" s="281"/>
      <c r="T290" s="281"/>
      <c r="U290" s="281"/>
    </row>
    <row r="291" spans="1:21" x14ac:dyDescent="0.3">
      <c r="A291" s="347" t="str">
        <f t="shared" si="59"/>
        <v>Exclude</v>
      </c>
      <c r="D291" s="425" t="s">
        <v>1298</v>
      </c>
      <c r="E291" s="38" t="s">
        <v>1093</v>
      </c>
      <c r="F291" s="22"/>
      <c r="G291" s="18"/>
      <c r="H291" s="20" t="s">
        <v>2</v>
      </c>
      <c r="I291" s="16">
        <v>4500</v>
      </c>
      <c r="J291" s="16">
        <f>G291*I291</f>
        <v>0</v>
      </c>
      <c r="K291" s="304"/>
      <c r="L291" s="298"/>
      <c r="M291" s="298">
        <f t="shared" si="67"/>
        <v>0</v>
      </c>
      <c r="N291" s="16"/>
      <c r="O291" s="114"/>
      <c r="Q291" s="281"/>
      <c r="R291" s="281"/>
      <c r="S291" s="281"/>
      <c r="T291" s="281"/>
      <c r="U291" s="281"/>
    </row>
    <row r="292" spans="1:21" x14ac:dyDescent="0.3">
      <c r="A292" s="347" t="str">
        <f t="shared" si="59"/>
        <v>Exclude</v>
      </c>
      <c r="D292" s="425" t="s">
        <v>1298</v>
      </c>
      <c r="E292" s="38" t="s">
        <v>1094</v>
      </c>
      <c r="F292" s="22"/>
      <c r="G292" s="18"/>
      <c r="H292" s="20" t="s">
        <v>2</v>
      </c>
      <c r="I292" s="16">
        <v>8500</v>
      </c>
      <c r="J292" s="16">
        <f t="shared" ref="J292:J296" si="69">G292*I292</f>
        <v>0</v>
      </c>
      <c r="K292" s="304"/>
      <c r="L292" s="298"/>
      <c r="M292" s="298">
        <f t="shared" si="67"/>
        <v>0</v>
      </c>
      <c r="N292" s="16"/>
      <c r="O292" s="114"/>
      <c r="Q292" s="281"/>
      <c r="R292" s="281"/>
      <c r="S292" s="281"/>
      <c r="T292" s="281"/>
      <c r="U292" s="281"/>
    </row>
    <row r="293" spans="1:21" x14ac:dyDescent="0.3">
      <c r="A293" s="347" t="str">
        <f t="shared" si="59"/>
        <v>Exclude</v>
      </c>
      <c r="D293" s="425" t="s">
        <v>1298</v>
      </c>
      <c r="E293" s="38" t="s">
        <v>1095</v>
      </c>
      <c r="F293" s="22"/>
      <c r="G293" s="18"/>
      <c r="H293" s="20" t="s">
        <v>2</v>
      </c>
      <c r="I293" s="16">
        <v>9500</v>
      </c>
      <c r="J293" s="16">
        <f t="shared" si="69"/>
        <v>0</v>
      </c>
      <c r="K293" s="304"/>
      <c r="L293" s="298"/>
      <c r="M293" s="298">
        <f t="shared" si="67"/>
        <v>0</v>
      </c>
      <c r="N293" s="16"/>
      <c r="O293" s="114"/>
      <c r="Q293" s="281"/>
      <c r="R293" s="281"/>
      <c r="S293" s="281"/>
      <c r="T293" s="281"/>
      <c r="U293" s="281"/>
    </row>
    <row r="294" spans="1:21" x14ac:dyDescent="0.3">
      <c r="A294" s="347" t="str">
        <f t="shared" si="59"/>
        <v>Exclude</v>
      </c>
      <c r="D294" s="425" t="s">
        <v>1298</v>
      </c>
      <c r="E294" s="38" t="s">
        <v>399</v>
      </c>
      <c r="F294" s="22"/>
      <c r="G294" s="18"/>
      <c r="H294" s="20" t="s">
        <v>2</v>
      </c>
      <c r="I294" s="16"/>
      <c r="J294" s="16">
        <f t="shared" si="69"/>
        <v>0</v>
      </c>
      <c r="K294" s="304"/>
      <c r="L294" s="298"/>
      <c r="M294" s="298">
        <f t="shared" si="67"/>
        <v>0</v>
      </c>
      <c r="N294" s="16"/>
      <c r="O294" s="114"/>
      <c r="Q294" s="281"/>
      <c r="R294" s="281"/>
      <c r="S294" s="281"/>
      <c r="T294" s="281"/>
      <c r="U294" s="281"/>
    </row>
    <row r="295" spans="1:21" x14ac:dyDescent="0.3">
      <c r="A295" s="347" t="str">
        <f t="shared" si="59"/>
        <v>Exclude</v>
      </c>
      <c r="D295" s="425" t="s">
        <v>1298</v>
      </c>
      <c r="E295" s="38" t="s">
        <v>511</v>
      </c>
      <c r="F295" s="22"/>
      <c r="G295" s="18"/>
      <c r="H295" s="20" t="s">
        <v>2</v>
      </c>
      <c r="I295" s="16">
        <v>2500</v>
      </c>
      <c r="J295" s="16">
        <f t="shared" si="69"/>
        <v>0</v>
      </c>
      <c r="K295" s="304"/>
      <c r="L295" s="298"/>
      <c r="M295" s="298">
        <f t="shared" si="67"/>
        <v>0</v>
      </c>
      <c r="N295" s="16"/>
      <c r="O295" s="114"/>
      <c r="Q295" s="281"/>
      <c r="R295" s="281"/>
      <c r="S295" s="281"/>
      <c r="T295" s="281"/>
      <c r="U295" s="281"/>
    </row>
    <row r="296" spans="1:21" x14ac:dyDescent="0.3">
      <c r="A296" s="347" t="str">
        <f t="shared" si="59"/>
        <v>Exclude</v>
      </c>
      <c r="D296" s="425" t="s">
        <v>1298</v>
      </c>
      <c r="E296" s="38" t="s">
        <v>512</v>
      </c>
      <c r="F296" s="22"/>
      <c r="G296" s="18"/>
      <c r="H296" s="20" t="s">
        <v>3</v>
      </c>
      <c r="I296" s="16">
        <v>15</v>
      </c>
      <c r="J296" s="16">
        <f t="shared" si="69"/>
        <v>0</v>
      </c>
      <c r="K296" s="304"/>
      <c r="L296" s="298"/>
      <c r="M296" s="298">
        <f t="shared" si="67"/>
        <v>0</v>
      </c>
      <c r="N296" s="16"/>
      <c r="O296" s="114"/>
      <c r="Q296" s="281"/>
      <c r="R296" s="281"/>
      <c r="S296" s="281"/>
      <c r="T296" s="281"/>
      <c r="U296" s="281"/>
    </row>
    <row r="297" spans="1:21" x14ac:dyDescent="0.3">
      <c r="A297" s="347" t="str">
        <f t="shared" si="59"/>
        <v>Exclude</v>
      </c>
      <c r="D297" s="427" t="s">
        <v>1298</v>
      </c>
      <c r="E297" s="199" t="s">
        <v>943</v>
      </c>
      <c r="F297" s="200"/>
      <c r="G297" s="201"/>
      <c r="H297" s="202" t="s">
        <v>0</v>
      </c>
      <c r="I297" s="203"/>
      <c r="J297" s="203"/>
      <c r="K297" s="304"/>
      <c r="L297" s="302"/>
      <c r="M297" s="302">
        <f>IF(K297="x","Included in Sub Bid",G297*I297)</f>
        <v>0</v>
      </c>
      <c r="N297" s="16"/>
      <c r="O297" s="114"/>
      <c r="Q297" s="281"/>
      <c r="R297" s="281"/>
      <c r="S297" s="281"/>
      <c r="T297" s="281"/>
      <c r="U297" s="281"/>
    </row>
    <row r="298" spans="1:21" x14ac:dyDescent="0.3">
      <c r="A298" s="347" t="str">
        <f t="shared" si="59"/>
        <v>Exclude</v>
      </c>
      <c r="D298" s="427" t="s">
        <v>1298</v>
      </c>
      <c r="E298" s="199" t="s">
        <v>944</v>
      </c>
      <c r="F298" s="200"/>
      <c r="G298" s="201"/>
      <c r="H298" s="202" t="s">
        <v>0</v>
      </c>
      <c r="I298" s="203"/>
      <c r="J298" s="203"/>
      <c r="K298" s="304"/>
      <c r="L298" s="302"/>
      <c r="M298" s="302">
        <f>IF(K298="x","Included in Sub Bid",G298*I298)</f>
        <v>0</v>
      </c>
      <c r="N298" s="16"/>
      <c r="O298" s="114"/>
      <c r="Q298" s="281"/>
      <c r="R298" s="281"/>
      <c r="S298" s="281"/>
      <c r="T298" s="281"/>
      <c r="U298" s="281"/>
    </row>
    <row r="299" spans="1:21" x14ac:dyDescent="0.3">
      <c r="A299" s="347" t="str">
        <f t="shared" si="59"/>
        <v>Exclude</v>
      </c>
      <c r="D299" s="425"/>
      <c r="E299" s="39"/>
      <c r="F299" s="10"/>
      <c r="G299" s="18"/>
      <c r="H299" s="12"/>
      <c r="I299" s="16"/>
      <c r="J299" s="16"/>
      <c r="K299" s="304"/>
      <c r="L299" s="298"/>
      <c r="M299" s="298"/>
      <c r="N299" s="16"/>
      <c r="O299" s="114"/>
      <c r="Q299" s="281"/>
      <c r="R299" s="281"/>
      <c r="S299" s="281"/>
      <c r="T299" s="281"/>
      <c r="U299" s="281"/>
    </row>
    <row r="300" spans="1:21" x14ac:dyDescent="0.3">
      <c r="A300" s="347" t="str">
        <f t="shared" si="59"/>
        <v>Exclude</v>
      </c>
      <c r="D300" s="425"/>
      <c r="E300" s="39"/>
      <c r="F300" s="10"/>
      <c r="G300" s="18"/>
      <c r="H300" s="12"/>
      <c r="I300" s="16"/>
      <c r="J300" s="16"/>
      <c r="K300" s="436"/>
      <c r="L300" s="298"/>
      <c r="M300" s="298"/>
      <c r="N300" s="16"/>
      <c r="O300" s="114"/>
      <c r="Q300" s="281"/>
      <c r="R300" s="281"/>
      <c r="S300" s="281"/>
      <c r="T300" s="281"/>
      <c r="U300" s="281"/>
    </row>
    <row r="301" spans="1:21" s="55" customFormat="1" ht="17.25" customHeight="1" x14ac:dyDescent="0.3">
      <c r="A301" s="347" t="str">
        <f>IF(J301=0,"Exclude","x")</f>
        <v>Exclude</v>
      </c>
      <c r="D301" s="424">
        <v>32</v>
      </c>
      <c r="E301" s="69" t="s">
        <v>1085</v>
      </c>
      <c r="F301" s="56"/>
      <c r="G301" s="57"/>
      <c r="H301" s="58"/>
      <c r="I301" s="59"/>
      <c r="J301" s="60">
        <f>SUBTOTAL(9,J302:J310)</f>
        <v>0</v>
      </c>
      <c r="K301" s="59">
        <f>IFERROR(J301/$G$6,0)</f>
        <v>0</v>
      </c>
      <c r="L301" s="309"/>
      <c r="M301" s="60"/>
      <c r="N301" s="59">
        <f>SUM(M302:M310)</f>
        <v>0</v>
      </c>
      <c r="O301" s="435">
        <f>IFERROR(N301/$G$6,0)</f>
        <v>0</v>
      </c>
      <c r="Q301" s="284"/>
      <c r="R301" s="284"/>
      <c r="S301" s="284"/>
      <c r="T301" s="284"/>
      <c r="U301" s="284"/>
    </row>
    <row r="302" spans="1:21" x14ac:dyDescent="0.3">
      <c r="A302" s="347" t="str">
        <f t="shared" si="59"/>
        <v>Exclude</v>
      </c>
      <c r="D302" s="426" t="s">
        <v>1299</v>
      </c>
      <c r="E302" s="39" t="s">
        <v>1203</v>
      </c>
      <c r="F302" s="24"/>
      <c r="G302" s="292"/>
      <c r="H302" s="25"/>
      <c r="I302" s="293"/>
      <c r="J302" s="293"/>
      <c r="K302" s="301"/>
      <c r="L302" s="300">
        <v>0</v>
      </c>
      <c r="M302" s="301">
        <f>L302</f>
        <v>0</v>
      </c>
      <c r="N302" s="293"/>
      <c r="O302" s="294"/>
      <c r="Q302" s="282"/>
      <c r="R302" s="281"/>
      <c r="S302" s="283"/>
      <c r="T302" s="283"/>
      <c r="U302" s="283"/>
    </row>
    <row r="303" spans="1:21" x14ac:dyDescent="0.3">
      <c r="A303" s="347" t="str">
        <f t="shared" si="59"/>
        <v>Exclude</v>
      </c>
      <c r="D303" s="425" t="s">
        <v>1299</v>
      </c>
      <c r="E303" s="40" t="s">
        <v>1098</v>
      </c>
      <c r="F303" s="10"/>
      <c r="G303" s="18"/>
      <c r="H303" s="19" t="s">
        <v>1</v>
      </c>
      <c r="I303" s="260">
        <v>20</v>
      </c>
      <c r="J303" s="16">
        <f t="shared" ref="J303:J306" si="70">G303*I303</f>
        <v>0</v>
      </c>
      <c r="K303" s="304"/>
      <c r="L303" s="298"/>
      <c r="M303" s="298">
        <f t="shared" ref="M303:M306" si="71">IF(K303="x","Included in Sub Bid",J303)</f>
        <v>0</v>
      </c>
      <c r="N303" s="16"/>
      <c r="O303" s="114"/>
      <c r="Q303" s="281"/>
      <c r="R303" s="281"/>
      <c r="S303" s="281"/>
      <c r="T303" s="281"/>
      <c r="U303" s="281"/>
    </row>
    <row r="304" spans="1:21" x14ac:dyDescent="0.3">
      <c r="A304" s="347" t="str">
        <f t="shared" si="59"/>
        <v>Exclude</v>
      </c>
      <c r="D304" s="425" t="s">
        <v>1299</v>
      </c>
      <c r="E304" s="40" t="s">
        <v>1096</v>
      </c>
      <c r="F304" s="10"/>
      <c r="G304" s="18"/>
      <c r="H304" s="19" t="s">
        <v>1</v>
      </c>
      <c r="I304" s="260">
        <v>75</v>
      </c>
      <c r="J304" s="16">
        <f>G304*I304</f>
        <v>0</v>
      </c>
      <c r="K304" s="304"/>
      <c r="L304" s="298"/>
      <c r="M304" s="298">
        <f t="shared" si="71"/>
        <v>0</v>
      </c>
      <c r="N304" s="16"/>
      <c r="O304" s="114"/>
      <c r="Q304" s="281"/>
      <c r="R304" s="281"/>
      <c r="S304" s="281"/>
      <c r="T304" s="281"/>
      <c r="U304" s="281"/>
    </row>
    <row r="305" spans="1:21" x14ac:dyDescent="0.3">
      <c r="A305" s="347" t="str">
        <f t="shared" si="59"/>
        <v>Exclude</v>
      </c>
      <c r="D305" s="425" t="s">
        <v>1299</v>
      </c>
      <c r="E305" s="40" t="s">
        <v>1097</v>
      </c>
      <c r="F305" s="10"/>
      <c r="G305" s="18"/>
      <c r="H305" s="19" t="s">
        <v>0</v>
      </c>
      <c r="I305" s="260">
        <v>5000</v>
      </c>
      <c r="J305" s="16">
        <f t="shared" si="70"/>
        <v>0</v>
      </c>
      <c r="K305" s="304"/>
      <c r="L305" s="298"/>
      <c r="M305" s="298">
        <f t="shared" si="71"/>
        <v>0</v>
      </c>
      <c r="N305" s="16"/>
      <c r="O305" s="114"/>
      <c r="Q305" s="281"/>
      <c r="R305" s="281"/>
      <c r="S305" s="281"/>
      <c r="T305" s="281"/>
      <c r="U305" s="281"/>
    </row>
    <row r="306" spans="1:21" x14ac:dyDescent="0.3">
      <c r="A306" s="347" t="str">
        <f t="shared" si="59"/>
        <v>Exclude</v>
      </c>
      <c r="D306" s="425" t="s">
        <v>1299</v>
      </c>
      <c r="E306" s="40" t="s">
        <v>1099</v>
      </c>
      <c r="F306" s="10"/>
      <c r="G306" s="18"/>
      <c r="H306" s="19" t="s">
        <v>0</v>
      </c>
      <c r="I306" s="260">
        <v>5000</v>
      </c>
      <c r="J306" s="16">
        <f t="shared" si="70"/>
        <v>0</v>
      </c>
      <c r="K306" s="304"/>
      <c r="L306" s="298"/>
      <c r="M306" s="298">
        <f t="shared" si="71"/>
        <v>0</v>
      </c>
      <c r="N306" s="16"/>
      <c r="O306" s="114"/>
      <c r="Q306" s="281"/>
      <c r="R306" s="281"/>
      <c r="S306" s="281"/>
      <c r="T306" s="281"/>
      <c r="U306" s="281"/>
    </row>
    <row r="307" spans="1:21" x14ac:dyDescent="0.3">
      <c r="A307" s="347" t="str">
        <f t="shared" si="59"/>
        <v>Exclude</v>
      </c>
      <c r="D307" s="427" t="s">
        <v>1299</v>
      </c>
      <c r="E307" s="199" t="s">
        <v>943</v>
      </c>
      <c r="F307" s="200"/>
      <c r="G307" s="201"/>
      <c r="H307" s="202" t="s">
        <v>0</v>
      </c>
      <c r="I307" s="203"/>
      <c r="J307" s="203"/>
      <c r="K307" s="304"/>
      <c r="L307" s="302"/>
      <c r="M307" s="302">
        <f>IF(K307="x","Included in Sub Bid",G307*I307)</f>
        <v>0</v>
      </c>
      <c r="N307" s="16"/>
      <c r="O307" s="114"/>
      <c r="Q307" s="281"/>
      <c r="R307" s="281"/>
      <c r="S307" s="281"/>
      <c r="T307" s="281"/>
      <c r="U307" s="281"/>
    </row>
    <row r="308" spans="1:21" x14ac:dyDescent="0.3">
      <c r="A308" s="347" t="str">
        <f t="shared" ref="A308:A309" si="72">A307</f>
        <v>Exclude</v>
      </c>
      <c r="D308" s="427" t="s">
        <v>1299</v>
      </c>
      <c r="E308" s="199" t="s">
        <v>944</v>
      </c>
      <c r="F308" s="200"/>
      <c r="G308" s="201"/>
      <c r="H308" s="202" t="s">
        <v>0</v>
      </c>
      <c r="I308" s="203"/>
      <c r="J308" s="203"/>
      <c r="K308" s="304"/>
      <c r="L308" s="302"/>
      <c r="M308" s="302">
        <f>IF(K308="x","Included in Sub Bid",G308*I308)</f>
        <v>0</v>
      </c>
      <c r="N308" s="16"/>
      <c r="O308" s="114"/>
      <c r="Q308" s="281"/>
      <c r="R308" s="281"/>
      <c r="S308" s="281"/>
      <c r="T308" s="281"/>
      <c r="U308" s="281"/>
    </row>
    <row r="309" spans="1:21" x14ac:dyDescent="0.3">
      <c r="A309" s="347" t="str">
        <f t="shared" si="72"/>
        <v>Exclude</v>
      </c>
      <c r="D309" s="425"/>
      <c r="E309" s="39"/>
      <c r="F309" s="10"/>
      <c r="G309" s="18"/>
      <c r="H309" s="12"/>
      <c r="I309" s="16"/>
      <c r="J309" s="16"/>
      <c r="K309" s="304"/>
      <c r="L309" s="298"/>
      <c r="M309" s="298"/>
      <c r="N309" s="16"/>
      <c r="O309" s="114"/>
      <c r="Q309" s="281"/>
      <c r="R309" s="281"/>
      <c r="S309" s="281"/>
      <c r="T309" s="281"/>
      <c r="U309" s="281"/>
    </row>
    <row r="310" spans="1:21" x14ac:dyDescent="0.3">
      <c r="A310" s="347" t="str">
        <f t="shared" ref="A310" si="73">A309</f>
        <v>Exclude</v>
      </c>
      <c r="D310" s="425"/>
      <c r="E310" s="39"/>
      <c r="F310" s="10"/>
      <c r="G310" s="18"/>
      <c r="H310" s="12"/>
      <c r="I310" s="16"/>
      <c r="J310" s="16"/>
      <c r="K310" s="436"/>
      <c r="L310" s="298"/>
      <c r="M310" s="298"/>
      <c r="N310" s="16"/>
      <c r="O310" s="114"/>
      <c r="Q310" s="281"/>
      <c r="R310" s="281"/>
      <c r="S310" s="281"/>
      <c r="T310" s="281"/>
      <c r="U310" s="281"/>
    </row>
    <row r="311" spans="1:21" s="55" customFormat="1" ht="17.25" customHeight="1" x14ac:dyDescent="0.3">
      <c r="A311" s="347" t="str">
        <f>IF(J311=0,"Exclude","x")</f>
        <v>Exclude</v>
      </c>
      <c r="D311" s="424" t="s">
        <v>820</v>
      </c>
      <c r="E311" s="69" t="s">
        <v>662</v>
      </c>
      <c r="F311" s="56"/>
      <c r="G311" s="57"/>
      <c r="H311" s="58"/>
      <c r="I311" s="59"/>
      <c r="J311" s="60">
        <f>SUBTOTAL(9,J312:J327)</f>
        <v>0</v>
      </c>
      <c r="K311" s="59">
        <f>IFERROR(J311/$G$6,0)</f>
        <v>0</v>
      </c>
      <c r="L311" s="309"/>
      <c r="M311" s="60"/>
      <c r="N311" s="59">
        <f>SUM(M312:M327)</f>
        <v>0</v>
      </c>
      <c r="O311" s="435">
        <f>IFERROR(N311/$G$6,0)</f>
        <v>0</v>
      </c>
      <c r="Q311" s="284"/>
      <c r="R311" s="284"/>
      <c r="S311" s="284"/>
      <c r="T311" s="284"/>
      <c r="U311" s="284"/>
    </row>
    <row r="312" spans="1:21" x14ac:dyDescent="0.3">
      <c r="A312" s="347" t="str">
        <f t="shared" ref="A312:A327" si="74">A311</f>
        <v>Exclude</v>
      </c>
      <c r="D312" s="426" t="s">
        <v>1300</v>
      </c>
      <c r="E312" s="39" t="s">
        <v>1203</v>
      </c>
      <c r="F312" s="24"/>
      <c r="G312" s="292"/>
      <c r="H312" s="25"/>
      <c r="I312" s="293"/>
      <c r="J312" s="293"/>
      <c r="K312" s="301"/>
      <c r="L312" s="300">
        <v>0</v>
      </c>
      <c r="M312" s="301">
        <f>L312</f>
        <v>0</v>
      </c>
      <c r="N312" s="293"/>
      <c r="O312" s="294"/>
      <c r="Q312" s="282"/>
      <c r="R312" s="281"/>
      <c r="S312" s="283"/>
      <c r="T312" s="283"/>
      <c r="U312" s="283"/>
    </row>
    <row r="313" spans="1:21" ht="12.75" customHeight="1" x14ac:dyDescent="0.3">
      <c r="A313" s="347" t="str">
        <f t="shared" si="74"/>
        <v>Exclude</v>
      </c>
      <c r="D313" s="425" t="s">
        <v>1300</v>
      </c>
      <c r="E313" s="38" t="s">
        <v>513</v>
      </c>
      <c r="F313" s="22"/>
      <c r="G313" s="18"/>
      <c r="H313" s="20" t="s">
        <v>3</v>
      </c>
      <c r="I313" s="16"/>
      <c r="J313" s="16">
        <f t="shared" ref="J313:J323" si="75">G313*I313</f>
        <v>0</v>
      </c>
      <c r="K313" s="304"/>
      <c r="L313" s="298"/>
      <c r="M313" s="298">
        <f t="shared" ref="M313:M323" si="76">IF(K313="x","Included in Sub Bid",J313)</f>
        <v>0</v>
      </c>
      <c r="N313" s="16"/>
      <c r="O313" s="104"/>
      <c r="Q313" s="281"/>
      <c r="R313" s="281"/>
      <c r="S313" s="281"/>
      <c r="T313" s="281"/>
      <c r="U313" s="281"/>
    </row>
    <row r="314" spans="1:21" ht="12.75" customHeight="1" x14ac:dyDescent="0.3">
      <c r="A314" s="347" t="str">
        <f t="shared" si="74"/>
        <v>Exclude</v>
      </c>
      <c r="D314" s="425" t="s">
        <v>1300</v>
      </c>
      <c r="E314" s="38" t="s">
        <v>433</v>
      </c>
      <c r="F314" s="22" t="s">
        <v>6</v>
      </c>
      <c r="G314" s="18"/>
      <c r="H314" s="20" t="s">
        <v>0</v>
      </c>
      <c r="I314" s="16">
        <v>55000</v>
      </c>
      <c r="J314" s="16">
        <f t="shared" ref="J314" si="77">G314*I314</f>
        <v>0</v>
      </c>
      <c r="K314" s="304"/>
      <c r="L314" s="298"/>
      <c r="M314" s="298">
        <f t="shared" si="76"/>
        <v>0</v>
      </c>
      <c r="N314" s="16"/>
      <c r="O314" s="104"/>
      <c r="Q314" s="281"/>
      <c r="R314" s="281"/>
      <c r="S314" s="281"/>
      <c r="T314" s="281"/>
      <c r="U314" s="281"/>
    </row>
    <row r="315" spans="1:21" ht="12.75" customHeight="1" x14ac:dyDescent="0.3">
      <c r="A315" s="347" t="str">
        <f t="shared" si="74"/>
        <v>Exclude</v>
      </c>
      <c r="D315" s="425" t="s">
        <v>1300</v>
      </c>
      <c r="E315" s="38" t="s">
        <v>538</v>
      </c>
      <c r="F315" s="22" t="s">
        <v>539</v>
      </c>
      <c r="G315" s="18"/>
      <c r="H315" s="20" t="s">
        <v>1</v>
      </c>
      <c r="I315" s="16"/>
      <c r="J315" s="16">
        <f t="shared" si="75"/>
        <v>0</v>
      </c>
      <c r="K315" s="304"/>
      <c r="L315" s="298"/>
      <c r="M315" s="298">
        <f t="shared" si="76"/>
        <v>0</v>
      </c>
      <c r="N315" s="16"/>
      <c r="O315" s="104"/>
      <c r="Q315" s="281"/>
      <c r="R315" s="281"/>
      <c r="S315" s="281"/>
      <c r="T315" s="281"/>
      <c r="U315" s="281"/>
    </row>
    <row r="316" spans="1:21" ht="12.75" customHeight="1" x14ac:dyDescent="0.3">
      <c r="A316" s="347" t="str">
        <f t="shared" si="74"/>
        <v>Exclude</v>
      </c>
      <c r="D316" s="425" t="s">
        <v>1300</v>
      </c>
      <c r="E316" s="38" t="s">
        <v>538</v>
      </c>
      <c r="F316" s="22" t="s">
        <v>540</v>
      </c>
      <c r="G316" s="18"/>
      <c r="H316" s="20" t="s">
        <v>1</v>
      </c>
      <c r="I316" s="16"/>
      <c r="J316" s="16">
        <f t="shared" si="75"/>
        <v>0</v>
      </c>
      <c r="K316" s="304"/>
      <c r="L316" s="298"/>
      <c r="M316" s="298">
        <f t="shared" si="76"/>
        <v>0</v>
      </c>
      <c r="N316" s="16"/>
      <c r="O316" s="104"/>
      <c r="Q316" s="281"/>
      <c r="R316" s="281"/>
      <c r="S316" s="281"/>
      <c r="T316" s="281"/>
      <c r="U316" s="281"/>
    </row>
    <row r="317" spans="1:21" ht="12.75" customHeight="1" x14ac:dyDescent="0.3">
      <c r="A317" s="347" t="str">
        <f t="shared" si="74"/>
        <v>Exclude</v>
      </c>
      <c r="D317" s="425" t="s">
        <v>1300</v>
      </c>
      <c r="E317" s="38" t="s">
        <v>434</v>
      </c>
      <c r="F317" s="22"/>
      <c r="G317" s="18"/>
      <c r="H317" s="20" t="s">
        <v>2</v>
      </c>
      <c r="I317" s="16"/>
      <c r="J317" s="16">
        <f t="shared" si="75"/>
        <v>0</v>
      </c>
      <c r="K317" s="304"/>
      <c r="L317" s="298"/>
      <c r="M317" s="298">
        <f t="shared" si="76"/>
        <v>0</v>
      </c>
      <c r="N317" s="16"/>
      <c r="O317" s="104"/>
      <c r="Q317" s="281"/>
      <c r="R317" s="281"/>
      <c r="S317" s="281"/>
      <c r="T317" s="281"/>
      <c r="U317" s="281"/>
    </row>
    <row r="318" spans="1:21" ht="12.75" customHeight="1" x14ac:dyDescent="0.3">
      <c r="A318" s="347" t="str">
        <f t="shared" si="74"/>
        <v>Exclude</v>
      </c>
      <c r="D318" s="425" t="s">
        <v>1300</v>
      </c>
      <c r="E318" s="38" t="s">
        <v>393</v>
      </c>
      <c r="F318" s="22" t="s">
        <v>1220</v>
      </c>
      <c r="G318" s="18"/>
      <c r="H318" s="20" t="s">
        <v>3</v>
      </c>
      <c r="I318" s="16">
        <v>165</v>
      </c>
      <c r="J318" s="16">
        <f t="shared" si="75"/>
        <v>0</v>
      </c>
      <c r="K318" s="304"/>
      <c r="L318" s="298"/>
      <c r="M318" s="298">
        <f t="shared" si="76"/>
        <v>0</v>
      </c>
      <c r="N318" s="16"/>
      <c r="O318" s="104"/>
      <c r="Q318" s="281"/>
      <c r="R318" s="281"/>
      <c r="S318" s="281"/>
      <c r="T318" s="281"/>
      <c r="U318" s="281"/>
    </row>
    <row r="319" spans="1:21" ht="12.75" customHeight="1" x14ac:dyDescent="0.3">
      <c r="A319" s="347" t="str">
        <f t="shared" si="74"/>
        <v>Exclude</v>
      </c>
      <c r="D319" s="425" t="s">
        <v>1300</v>
      </c>
      <c r="E319" s="38" t="s">
        <v>515</v>
      </c>
      <c r="F319" s="22"/>
      <c r="G319" s="18"/>
      <c r="H319" s="20" t="s">
        <v>20</v>
      </c>
      <c r="I319" s="16"/>
      <c r="J319" s="16">
        <f t="shared" ref="J319" si="78">G319*I319</f>
        <v>0</v>
      </c>
      <c r="K319" s="304"/>
      <c r="L319" s="298"/>
      <c r="M319" s="298">
        <f t="shared" si="76"/>
        <v>0</v>
      </c>
      <c r="N319" s="16"/>
      <c r="O319" s="104"/>
      <c r="Q319" s="281"/>
      <c r="R319" s="281"/>
      <c r="S319" s="281"/>
      <c r="T319" s="281"/>
      <c r="U319" s="281"/>
    </row>
    <row r="320" spans="1:21" ht="12.75" customHeight="1" x14ac:dyDescent="0.3">
      <c r="A320" s="347" t="str">
        <f t="shared" si="74"/>
        <v>Exclude</v>
      </c>
      <c r="D320" s="425" t="s">
        <v>1300</v>
      </c>
      <c r="E320" s="38" t="s">
        <v>395</v>
      </c>
      <c r="F320" s="22"/>
      <c r="G320" s="18"/>
      <c r="H320" s="20" t="s">
        <v>2</v>
      </c>
      <c r="I320" s="16">
        <v>50000</v>
      </c>
      <c r="J320" s="16">
        <f t="shared" si="75"/>
        <v>0</v>
      </c>
      <c r="K320" s="304"/>
      <c r="L320" s="298"/>
      <c r="M320" s="298">
        <f t="shared" si="76"/>
        <v>0</v>
      </c>
      <c r="N320" s="16"/>
      <c r="O320" s="104"/>
      <c r="Q320" s="281"/>
      <c r="R320" s="281"/>
      <c r="S320" s="281"/>
      <c r="T320" s="281"/>
      <c r="U320" s="281"/>
    </row>
    <row r="321" spans="1:21" ht="12.75" customHeight="1" x14ac:dyDescent="0.3">
      <c r="A321" s="347" t="str">
        <f t="shared" si="74"/>
        <v>Exclude</v>
      </c>
      <c r="D321" s="425" t="s">
        <v>1300</v>
      </c>
      <c r="E321" s="38" t="s">
        <v>401</v>
      </c>
      <c r="F321" s="22" t="s">
        <v>6</v>
      </c>
      <c r="G321" s="18"/>
      <c r="H321" s="20" t="s">
        <v>2</v>
      </c>
      <c r="I321" s="16"/>
      <c r="J321" s="16">
        <f t="shared" si="75"/>
        <v>0</v>
      </c>
      <c r="K321" s="304"/>
      <c r="L321" s="298"/>
      <c r="M321" s="298">
        <f t="shared" si="76"/>
        <v>0</v>
      </c>
      <c r="N321" s="16"/>
      <c r="O321" s="104"/>
      <c r="Q321" s="281"/>
      <c r="R321" s="281"/>
      <c r="S321" s="281"/>
      <c r="T321" s="281"/>
      <c r="U321" s="281"/>
    </row>
    <row r="322" spans="1:21" ht="12.75" customHeight="1" x14ac:dyDescent="0.3">
      <c r="A322" s="347" t="str">
        <f t="shared" si="74"/>
        <v>Exclude</v>
      </c>
      <c r="D322" s="425" t="s">
        <v>1300</v>
      </c>
      <c r="E322" s="38" t="s">
        <v>394</v>
      </c>
      <c r="F322" s="22"/>
      <c r="G322" s="18"/>
      <c r="H322" s="20" t="s">
        <v>2</v>
      </c>
      <c r="I322" s="16"/>
      <c r="J322" s="16">
        <f t="shared" si="75"/>
        <v>0</v>
      </c>
      <c r="K322" s="304"/>
      <c r="L322" s="298"/>
      <c r="M322" s="298">
        <f t="shared" si="76"/>
        <v>0</v>
      </c>
      <c r="N322" s="16"/>
      <c r="O322" s="104"/>
      <c r="Q322" s="281"/>
      <c r="R322" s="281"/>
      <c r="S322" s="281"/>
      <c r="T322" s="281"/>
      <c r="U322" s="281"/>
    </row>
    <row r="323" spans="1:21" ht="12.75" customHeight="1" x14ac:dyDescent="0.3">
      <c r="A323" s="347" t="str">
        <f t="shared" si="74"/>
        <v>Exclude</v>
      </c>
      <c r="D323" s="425" t="s">
        <v>1300</v>
      </c>
      <c r="E323" s="38" t="s">
        <v>425</v>
      </c>
      <c r="F323" s="22"/>
      <c r="G323" s="18"/>
      <c r="H323" s="20" t="s">
        <v>0</v>
      </c>
      <c r="I323" s="16"/>
      <c r="J323" s="16">
        <f t="shared" si="75"/>
        <v>0</v>
      </c>
      <c r="K323" s="304"/>
      <c r="L323" s="298"/>
      <c r="M323" s="298">
        <f t="shared" si="76"/>
        <v>0</v>
      </c>
      <c r="N323" s="16"/>
      <c r="O323" s="104"/>
      <c r="Q323" s="281"/>
      <c r="R323" s="281"/>
      <c r="S323" s="281"/>
      <c r="T323" s="281"/>
      <c r="U323" s="281"/>
    </row>
    <row r="324" spans="1:21" x14ac:dyDescent="0.3">
      <c r="A324" s="347" t="str">
        <f t="shared" si="74"/>
        <v>Exclude</v>
      </c>
      <c r="D324" s="427" t="s">
        <v>1300</v>
      </c>
      <c r="E324" s="199" t="s">
        <v>943</v>
      </c>
      <c r="F324" s="200"/>
      <c r="G324" s="201"/>
      <c r="H324" s="202" t="s">
        <v>0</v>
      </c>
      <c r="I324" s="203"/>
      <c r="J324" s="203"/>
      <c r="K324" s="304"/>
      <c r="L324" s="302"/>
      <c r="M324" s="302">
        <f>IF(K324="x","Included in Sub Bid",G324*I324)</f>
        <v>0</v>
      </c>
      <c r="N324" s="16"/>
      <c r="O324" s="114"/>
      <c r="Q324" s="281"/>
      <c r="R324" s="281"/>
      <c r="S324" s="281"/>
      <c r="T324" s="281"/>
      <c r="U324" s="281"/>
    </row>
    <row r="325" spans="1:21" x14ac:dyDescent="0.3">
      <c r="A325" s="347" t="str">
        <f t="shared" si="74"/>
        <v>Exclude</v>
      </c>
      <c r="D325" s="427" t="s">
        <v>1300</v>
      </c>
      <c r="E325" s="199" t="s">
        <v>944</v>
      </c>
      <c r="F325" s="200"/>
      <c r="G325" s="201"/>
      <c r="H325" s="202" t="s">
        <v>0</v>
      </c>
      <c r="I325" s="203"/>
      <c r="J325" s="203"/>
      <c r="K325" s="304"/>
      <c r="L325" s="302"/>
      <c r="M325" s="302">
        <f>IF(K325="x","Included in Sub Bid",G325*I325)</f>
        <v>0</v>
      </c>
      <c r="N325" s="16"/>
      <c r="O325" s="114"/>
      <c r="Q325" s="281"/>
      <c r="R325" s="281"/>
      <c r="S325" s="281"/>
      <c r="T325" s="281"/>
      <c r="U325" s="281"/>
    </row>
    <row r="326" spans="1:21" x14ac:dyDescent="0.3">
      <c r="A326" s="347" t="str">
        <f t="shared" si="74"/>
        <v>Exclude</v>
      </c>
      <c r="D326" s="425"/>
      <c r="E326" s="38"/>
      <c r="F326" s="22"/>
      <c r="G326" s="18"/>
      <c r="H326" s="20"/>
      <c r="I326" s="16"/>
      <c r="J326" s="16"/>
      <c r="K326" s="304"/>
      <c r="L326" s="298"/>
      <c r="M326" s="298"/>
      <c r="N326" s="16"/>
      <c r="O326" s="104"/>
      <c r="Q326" s="281"/>
      <c r="R326" s="281"/>
      <c r="S326" s="281"/>
      <c r="T326" s="281"/>
      <c r="U326" s="281"/>
    </row>
    <row r="327" spans="1:21" ht="13.5" thickBot="1" x14ac:dyDescent="0.35">
      <c r="A327" s="347" t="str">
        <f t="shared" si="74"/>
        <v>Exclude</v>
      </c>
      <c r="D327" s="430"/>
      <c r="E327" s="339"/>
      <c r="F327" s="340"/>
      <c r="G327" s="341"/>
      <c r="H327" s="342"/>
      <c r="I327" s="107"/>
      <c r="J327" s="107"/>
      <c r="K327" s="343"/>
      <c r="L327" s="299"/>
      <c r="M327" s="299"/>
      <c r="N327" s="107"/>
      <c r="O327" s="108"/>
      <c r="Q327" s="281"/>
      <c r="R327" s="281"/>
      <c r="S327" s="281"/>
      <c r="T327" s="281"/>
      <c r="U327" s="281"/>
    </row>
    <row r="328" spans="1:21" ht="18.5" x14ac:dyDescent="0.45">
      <c r="A328" s="347" t="str">
        <f>IF(J328=0,"Exclude","x")</f>
        <v>x</v>
      </c>
      <c r="D328" s="423"/>
      <c r="E328" s="98" t="s">
        <v>79</v>
      </c>
      <c r="F328" s="99"/>
      <c r="G328" s="112"/>
      <c r="H328" s="101"/>
      <c r="I328" s="113"/>
      <c r="J328" s="103">
        <f>SUBTOTAL(9,J329:J1207)</f>
        <v>6183.99</v>
      </c>
      <c r="K328" s="439">
        <f>IFERROR(J328/$G$6,0)</f>
        <v>0</v>
      </c>
      <c r="L328" s="310"/>
      <c r="M328" s="103"/>
      <c r="N328" s="182">
        <f>SUM(N329:N1208)/2</f>
        <v>6183.99</v>
      </c>
      <c r="O328" s="434">
        <f>IFERROR(N328/$G$6,0)</f>
        <v>0</v>
      </c>
      <c r="Q328" s="282" t="str">
        <f>IF(SUM(M329:M1207)=SUM(N329:N1207)/2,"SUBTOTALS MATCH LINE ITEM TOTALS","ERROR- CHECK SUMS")</f>
        <v>SUBTOTALS MATCH LINE ITEM TOTALS</v>
      </c>
      <c r="R328" s="281"/>
      <c r="S328" s="281"/>
      <c r="T328" s="286">
        <f>N328-'Budget Summary'!E63</f>
        <v>0</v>
      </c>
      <c r="U328" s="281"/>
    </row>
    <row r="329" spans="1:21" ht="15.5" x14ac:dyDescent="0.35">
      <c r="A329" s="347" t="str">
        <f>IF(J329=0,"Exclude","x")</f>
        <v>Exclude</v>
      </c>
      <c r="D329" s="431"/>
      <c r="E329" s="68" t="s">
        <v>109</v>
      </c>
      <c r="F329" s="63"/>
      <c r="G329" s="64"/>
      <c r="H329" s="65"/>
      <c r="I329" s="66"/>
      <c r="J329" s="66">
        <f>SUBTOTAL(9,J330:J416)</f>
        <v>0</v>
      </c>
      <c r="K329" s="438">
        <f>IFERROR(J329/$G$6,0)</f>
        <v>0</v>
      </c>
      <c r="L329" s="311"/>
      <c r="M329" s="66"/>
      <c r="N329" s="66">
        <f>N330+N362+N382+N390+N404</f>
        <v>0</v>
      </c>
      <c r="O329" s="317">
        <f>IFERROR(N329/$G$6,0)</f>
        <v>0</v>
      </c>
      <c r="Q329" s="282" t="str">
        <f>IF(SUM(M329:M1207)=N328,"DIVISION TOTAL MATCHES LINE ITEM TOTALS","ERROR- CHECK SUMS")</f>
        <v>DIVISION TOTAL MATCHES LINE ITEM TOTALS</v>
      </c>
      <c r="R329" s="281"/>
      <c r="S329" s="281"/>
      <c r="T329" s="281"/>
      <c r="U329" s="281"/>
    </row>
    <row r="330" spans="1:21" s="55" customFormat="1" ht="17.25" customHeight="1" x14ac:dyDescent="0.3">
      <c r="A330" s="347" t="str">
        <f>IF(J330=0,"Exclude","x")</f>
        <v>Exclude</v>
      </c>
      <c r="D330" s="433" t="s">
        <v>819</v>
      </c>
      <c r="E330" s="69" t="s">
        <v>616</v>
      </c>
      <c r="F330" s="56"/>
      <c r="G330" s="57"/>
      <c r="H330" s="58"/>
      <c r="I330" s="59"/>
      <c r="J330" s="60">
        <f>SUBTOTAL(9,J331:J361)</f>
        <v>0</v>
      </c>
      <c r="K330" s="59">
        <f>IFERROR(J330/$G$6,0)</f>
        <v>0</v>
      </c>
      <c r="L330" s="309"/>
      <c r="M330" s="60"/>
      <c r="N330" s="59">
        <f>SUM(M331:M361)</f>
        <v>0</v>
      </c>
      <c r="O330" s="435">
        <f>IFERROR(N330/$G$6,0)</f>
        <v>0</v>
      </c>
      <c r="Q330" s="282"/>
      <c r="R330" s="284"/>
      <c r="S330" s="284"/>
      <c r="T330" s="284"/>
      <c r="U330" s="284"/>
    </row>
    <row r="331" spans="1:21" x14ac:dyDescent="0.3">
      <c r="A331" s="347" t="str">
        <f t="shared" ref="A331:A396" si="79">A330</f>
        <v>Exclude</v>
      </c>
      <c r="D331" s="426" t="s">
        <v>1301</v>
      </c>
      <c r="E331" s="39" t="s">
        <v>1203</v>
      </c>
      <c r="F331" s="24"/>
      <c r="G331" s="292"/>
      <c r="H331" s="25"/>
      <c r="I331" s="293"/>
      <c r="J331" s="293"/>
      <c r="K331" s="301"/>
      <c r="L331" s="300">
        <v>0</v>
      </c>
      <c r="M331" s="301">
        <f>L331</f>
        <v>0</v>
      </c>
      <c r="N331" s="293"/>
      <c r="O331" s="294"/>
      <c r="Q331" s="282"/>
      <c r="R331" s="281"/>
      <c r="S331" s="283"/>
      <c r="T331" s="283"/>
      <c r="U331" s="283"/>
    </row>
    <row r="332" spans="1:21" x14ac:dyDescent="0.3">
      <c r="A332" s="347" t="str">
        <f t="shared" si="79"/>
        <v>Exclude</v>
      </c>
      <c r="D332" s="425" t="s">
        <v>1301</v>
      </c>
      <c r="E332" s="44" t="s">
        <v>152</v>
      </c>
      <c r="F332" s="10" t="s">
        <v>1240</v>
      </c>
      <c r="G332" s="21">
        <f>'Project Info Input'!C56*(1+'Project Info Input'!C60)</f>
        <v>0</v>
      </c>
      <c r="H332" s="19" t="s">
        <v>38</v>
      </c>
      <c r="I332" s="13">
        <v>375</v>
      </c>
      <c r="J332" s="16">
        <f t="shared" ref="J332:J341" si="80">G332*I332</f>
        <v>0</v>
      </c>
      <c r="K332" s="304"/>
      <c r="L332" s="298"/>
      <c r="M332" s="298">
        <f t="shared" ref="M332:M357" si="81">IF(K332="x","Included in Sub Bid",J332)</f>
        <v>0</v>
      </c>
      <c r="N332" s="16"/>
      <c r="O332" s="104"/>
      <c r="Q332" s="281"/>
      <c r="R332" s="281"/>
      <c r="S332" s="281"/>
      <c r="T332" s="281"/>
      <c r="U332" s="281"/>
    </row>
    <row r="333" spans="1:21" x14ac:dyDescent="0.3">
      <c r="A333" s="347" t="str">
        <f t="shared" si="79"/>
        <v>Exclude</v>
      </c>
      <c r="D333" s="425" t="s">
        <v>1301</v>
      </c>
      <c r="E333" s="44" t="s">
        <v>152</v>
      </c>
      <c r="F333" s="10" t="s">
        <v>1241</v>
      </c>
      <c r="G333" s="21"/>
      <c r="H333" s="19" t="s">
        <v>38</v>
      </c>
      <c r="I333" s="13">
        <f t="shared" ref="I333:I340" si="82">I332</f>
        <v>375</v>
      </c>
      <c r="J333" s="16">
        <f t="shared" si="80"/>
        <v>0</v>
      </c>
      <c r="K333" s="304"/>
      <c r="L333" s="298"/>
      <c r="M333" s="298">
        <f t="shared" ref="M333" si="83">IF(K333="x","Included in Sub Bid",J333)</f>
        <v>0</v>
      </c>
      <c r="N333" s="16"/>
      <c r="O333" s="104"/>
      <c r="Q333" s="281"/>
      <c r="R333" s="281"/>
      <c r="S333" s="281"/>
      <c r="T333" s="281"/>
      <c r="U333" s="281"/>
    </row>
    <row r="334" spans="1:21" x14ac:dyDescent="0.3">
      <c r="A334" s="347" t="str">
        <f t="shared" si="79"/>
        <v>Exclude</v>
      </c>
      <c r="D334" s="425" t="s">
        <v>1301</v>
      </c>
      <c r="E334" s="44" t="s">
        <v>152</v>
      </c>
      <c r="F334" s="10" t="s">
        <v>1242</v>
      </c>
      <c r="G334" s="21"/>
      <c r="H334" s="19" t="s">
        <v>38</v>
      </c>
      <c r="I334" s="13">
        <f t="shared" si="82"/>
        <v>375</v>
      </c>
      <c r="J334" s="16">
        <f t="shared" si="80"/>
        <v>0</v>
      </c>
      <c r="K334" s="304"/>
      <c r="L334" s="298"/>
      <c r="M334" s="298">
        <f t="shared" ref="M334:M335" si="84">IF(K334="x","Included in Sub Bid",J334)</f>
        <v>0</v>
      </c>
      <c r="N334" s="16"/>
      <c r="O334" s="104"/>
      <c r="Q334" s="281"/>
      <c r="R334" s="281"/>
      <c r="S334" s="281"/>
      <c r="T334" s="281"/>
      <c r="U334" s="281"/>
    </row>
    <row r="335" spans="1:21" x14ac:dyDescent="0.3">
      <c r="A335" s="347" t="str">
        <f t="shared" si="79"/>
        <v>Exclude</v>
      </c>
      <c r="D335" s="425" t="s">
        <v>1301</v>
      </c>
      <c r="E335" s="44" t="s">
        <v>152</v>
      </c>
      <c r="F335" s="10" t="s">
        <v>1243</v>
      </c>
      <c r="G335" s="21"/>
      <c r="H335" s="19" t="s">
        <v>38</v>
      </c>
      <c r="I335" s="13">
        <f t="shared" si="82"/>
        <v>375</v>
      </c>
      <c r="J335" s="16">
        <f t="shared" si="80"/>
        <v>0</v>
      </c>
      <c r="K335" s="304"/>
      <c r="L335" s="298"/>
      <c r="M335" s="298">
        <f t="shared" si="84"/>
        <v>0</v>
      </c>
      <c r="N335" s="16"/>
      <c r="O335" s="104"/>
      <c r="Q335" s="281"/>
      <c r="R335" s="281"/>
      <c r="S335" s="281"/>
      <c r="T335" s="281"/>
      <c r="U335" s="281"/>
    </row>
    <row r="336" spans="1:21" x14ac:dyDescent="0.3">
      <c r="A336" s="347" t="str">
        <f t="shared" si="79"/>
        <v>Exclude</v>
      </c>
      <c r="D336" s="425" t="s">
        <v>1301</v>
      </c>
      <c r="E336" s="44" t="s">
        <v>152</v>
      </c>
      <c r="F336" s="10" t="s">
        <v>1244</v>
      </c>
      <c r="G336" s="21"/>
      <c r="H336" s="19" t="s">
        <v>38</v>
      </c>
      <c r="I336" s="13">
        <f t="shared" si="82"/>
        <v>375</v>
      </c>
      <c r="J336" s="16">
        <f t="shared" si="80"/>
        <v>0</v>
      </c>
      <c r="K336" s="304"/>
      <c r="L336" s="298"/>
      <c r="M336" s="298">
        <f t="shared" ref="M336:M339" si="85">IF(K336="x","Included in Sub Bid",J336)</f>
        <v>0</v>
      </c>
      <c r="N336" s="16"/>
      <c r="O336" s="104"/>
      <c r="Q336" s="281"/>
      <c r="R336" s="281"/>
      <c r="S336" s="281"/>
      <c r="T336" s="281"/>
      <c r="U336" s="281"/>
    </row>
    <row r="337" spans="1:21" x14ac:dyDescent="0.3">
      <c r="A337" s="347" t="str">
        <f t="shared" si="79"/>
        <v>Exclude</v>
      </c>
      <c r="D337" s="425" t="s">
        <v>1301</v>
      </c>
      <c r="E337" s="44" t="s">
        <v>152</v>
      </c>
      <c r="F337" s="10" t="s">
        <v>1245</v>
      </c>
      <c r="G337" s="21"/>
      <c r="H337" s="19" t="s">
        <v>38</v>
      </c>
      <c r="I337" s="13">
        <f t="shared" si="82"/>
        <v>375</v>
      </c>
      <c r="J337" s="16">
        <f t="shared" si="80"/>
        <v>0</v>
      </c>
      <c r="K337" s="304"/>
      <c r="L337" s="298"/>
      <c r="M337" s="298">
        <f t="shared" si="85"/>
        <v>0</v>
      </c>
      <c r="N337" s="16"/>
      <c r="O337" s="104"/>
      <c r="Q337" s="281"/>
      <c r="R337" s="281"/>
      <c r="S337" s="281"/>
      <c r="T337" s="281"/>
      <c r="U337" s="281"/>
    </row>
    <row r="338" spans="1:21" x14ac:dyDescent="0.3">
      <c r="A338" s="347" t="str">
        <f t="shared" si="79"/>
        <v>Exclude</v>
      </c>
      <c r="D338" s="425" t="s">
        <v>1301</v>
      </c>
      <c r="E338" s="44" t="s">
        <v>152</v>
      </c>
      <c r="F338" s="10" t="s">
        <v>1246</v>
      </c>
      <c r="G338" s="21"/>
      <c r="H338" s="19" t="s">
        <v>38</v>
      </c>
      <c r="I338" s="13">
        <f t="shared" si="82"/>
        <v>375</v>
      </c>
      <c r="J338" s="16">
        <f t="shared" si="80"/>
        <v>0</v>
      </c>
      <c r="K338" s="304"/>
      <c r="L338" s="298"/>
      <c r="M338" s="298">
        <f t="shared" si="85"/>
        <v>0</v>
      </c>
      <c r="N338" s="16"/>
      <c r="O338" s="104"/>
      <c r="Q338" s="281"/>
      <c r="R338" s="281"/>
      <c r="S338" s="281"/>
      <c r="T338" s="281"/>
      <c r="U338" s="281"/>
    </row>
    <row r="339" spans="1:21" x14ac:dyDescent="0.3">
      <c r="A339" s="347" t="str">
        <f t="shared" si="79"/>
        <v>Exclude</v>
      </c>
      <c r="D339" s="425" t="s">
        <v>1301</v>
      </c>
      <c r="E339" s="44" t="s">
        <v>152</v>
      </c>
      <c r="F339" s="10" t="s">
        <v>1247</v>
      </c>
      <c r="G339" s="21"/>
      <c r="H339" s="19" t="s">
        <v>38</v>
      </c>
      <c r="I339" s="13">
        <f t="shared" si="82"/>
        <v>375</v>
      </c>
      <c r="J339" s="16">
        <f t="shared" si="80"/>
        <v>0</v>
      </c>
      <c r="K339" s="304"/>
      <c r="L339" s="298"/>
      <c r="M339" s="298">
        <f t="shared" si="85"/>
        <v>0</v>
      </c>
      <c r="N339" s="16"/>
      <c r="O339" s="104"/>
      <c r="Q339" s="281"/>
      <c r="R339" s="281"/>
      <c r="S339" s="281"/>
      <c r="T339" s="281"/>
      <c r="U339" s="281"/>
    </row>
    <row r="340" spans="1:21" x14ac:dyDescent="0.3">
      <c r="A340" s="347" t="str">
        <f t="shared" si="79"/>
        <v>Exclude</v>
      </c>
      <c r="D340" s="425" t="s">
        <v>1301</v>
      </c>
      <c r="E340" s="44" t="s">
        <v>152</v>
      </c>
      <c r="F340" s="10" t="s">
        <v>1248</v>
      </c>
      <c r="G340" s="21"/>
      <c r="H340" s="19" t="s">
        <v>38</v>
      </c>
      <c r="I340" s="13">
        <f t="shared" si="82"/>
        <v>375</v>
      </c>
      <c r="J340" s="16">
        <f t="shared" si="80"/>
        <v>0</v>
      </c>
      <c r="K340" s="304"/>
      <c r="L340" s="298"/>
      <c r="M340" s="298">
        <f t="shared" ref="M340" si="86">IF(K340="x","Included in Sub Bid",J340)</f>
        <v>0</v>
      </c>
      <c r="N340" s="16"/>
      <c r="O340" s="104"/>
      <c r="Q340" s="281"/>
      <c r="R340" s="281"/>
      <c r="S340" s="281"/>
      <c r="T340" s="281"/>
      <c r="U340" s="281"/>
    </row>
    <row r="341" spans="1:21" x14ac:dyDescent="0.3">
      <c r="A341" s="347" t="str">
        <f t="shared" si="79"/>
        <v>Exclude</v>
      </c>
      <c r="D341" s="425" t="s">
        <v>1301</v>
      </c>
      <c r="E341" s="44" t="s">
        <v>400</v>
      </c>
      <c r="F341" s="10"/>
      <c r="G341" s="27"/>
      <c r="H341" s="19" t="s">
        <v>38</v>
      </c>
      <c r="I341" s="13">
        <f>I332</f>
        <v>375</v>
      </c>
      <c r="J341" s="16">
        <f t="shared" si="80"/>
        <v>0</v>
      </c>
      <c r="K341" s="304"/>
      <c r="L341" s="298"/>
      <c r="M341" s="298">
        <f t="shared" si="81"/>
        <v>0</v>
      </c>
      <c r="N341" s="16"/>
      <c r="O341" s="104"/>
      <c r="Q341" s="281"/>
      <c r="R341" s="281"/>
      <c r="S341" s="281"/>
      <c r="T341" s="281"/>
      <c r="U341" s="281"/>
    </row>
    <row r="342" spans="1:21" ht="12.75" customHeight="1" x14ac:dyDescent="0.3">
      <c r="A342" s="347" t="str">
        <f t="shared" si="79"/>
        <v>Exclude</v>
      </c>
      <c r="D342" s="425" t="s">
        <v>1301</v>
      </c>
      <c r="E342" s="44" t="s">
        <v>72</v>
      </c>
      <c r="F342" s="262"/>
      <c r="G342" s="28">
        <f>'Project Info Input'!C35*'Project Info Input'!C58*'Project Info Input'!C59/27*(1+'Project Info Input'!C60)</f>
        <v>0</v>
      </c>
      <c r="H342" s="19" t="s">
        <v>38</v>
      </c>
      <c r="I342" s="13">
        <f>I332</f>
        <v>375</v>
      </c>
      <c r="J342" s="16">
        <f t="shared" ref="J342:J377" si="87">G342*I342</f>
        <v>0</v>
      </c>
      <c r="K342" s="304"/>
      <c r="L342" s="298"/>
      <c r="M342" s="298">
        <f t="shared" si="81"/>
        <v>0</v>
      </c>
      <c r="N342" s="16"/>
      <c r="O342" s="104"/>
      <c r="Q342" s="281"/>
      <c r="R342" s="281"/>
      <c r="S342" s="281"/>
      <c r="T342" s="281"/>
      <c r="U342" s="281"/>
    </row>
    <row r="343" spans="1:21" ht="12.75" customHeight="1" x14ac:dyDescent="0.3">
      <c r="A343" s="347" t="str">
        <f t="shared" si="79"/>
        <v>Exclude</v>
      </c>
      <c r="D343" s="425" t="s">
        <v>1301</v>
      </c>
      <c r="E343" s="44" t="s">
        <v>330</v>
      </c>
      <c r="F343" s="10"/>
      <c r="G343" s="27"/>
      <c r="H343" s="19" t="s">
        <v>2</v>
      </c>
      <c r="I343" s="13"/>
      <c r="J343" s="16">
        <f t="shared" si="87"/>
        <v>0</v>
      </c>
      <c r="K343" s="304"/>
      <c r="L343" s="298"/>
      <c r="M343" s="298">
        <f t="shared" si="81"/>
        <v>0</v>
      </c>
      <c r="N343" s="16"/>
      <c r="O343" s="104"/>
      <c r="Q343" s="281"/>
      <c r="R343" s="281"/>
      <c r="S343" s="281"/>
      <c r="T343" s="281"/>
      <c r="U343" s="281"/>
    </row>
    <row r="344" spans="1:21" x14ac:dyDescent="0.3">
      <c r="A344" s="347" t="str">
        <f t="shared" si="79"/>
        <v>Exclude</v>
      </c>
      <c r="D344" s="425" t="s">
        <v>1301</v>
      </c>
      <c r="E344" s="36" t="s">
        <v>73</v>
      </c>
      <c r="F344" s="10"/>
      <c r="G344" s="28">
        <f>IF(SUM(G332:G343)=0,0,'Project Info Input'!J48)</f>
        <v>0</v>
      </c>
      <c r="H344" s="19" t="s">
        <v>2</v>
      </c>
      <c r="I344" s="13">
        <v>60</v>
      </c>
      <c r="J344" s="16">
        <f t="shared" si="87"/>
        <v>0</v>
      </c>
      <c r="K344" s="304"/>
      <c r="L344" s="298"/>
      <c r="M344" s="298">
        <f t="shared" si="81"/>
        <v>0</v>
      </c>
      <c r="N344" s="16"/>
      <c r="O344" s="104"/>
      <c r="Q344" s="281"/>
      <c r="R344" s="281"/>
      <c r="S344" s="281"/>
      <c r="T344" s="281"/>
      <c r="U344" s="281"/>
    </row>
    <row r="345" spans="1:21" x14ac:dyDescent="0.3">
      <c r="A345" s="347" t="str">
        <f t="shared" si="79"/>
        <v>Exclude</v>
      </c>
      <c r="D345" s="425" t="s">
        <v>1301</v>
      </c>
      <c r="E345" s="44" t="s">
        <v>74</v>
      </c>
      <c r="F345" s="10"/>
      <c r="G345" s="27"/>
      <c r="H345" s="19" t="s">
        <v>38</v>
      </c>
      <c r="I345" s="13"/>
      <c r="J345" s="16">
        <f t="shared" si="87"/>
        <v>0</v>
      </c>
      <c r="K345" s="304"/>
      <c r="L345" s="298"/>
      <c r="M345" s="298">
        <f t="shared" si="81"/>
        <v>0</v>
      </c>
      <c r="N345" s="16"/>
      <c r="O345" s="104"/>
      <c r="Q345" s="281"/>
      <c r="R345" s="281"/>
      <c r="S345" s="281"/>
      <c r="T345" s="281"/>
      <c r="U345" s="281"/>
    </row>
    <row r="346" spans="1:21" x14ac:dyDescent="0.3">
      <c r="A346" s="347" t="str">
        <f t="shared" si="79"/>
        <v>Exclude</v>
      </c>
      <c r="D346" s="425" t="s">
        <v>1301</v>
      </c>
      <c r="E346" s="44" t="s">
        <v>406</v>
      </c>
      <c r="F346" s="10"/>
      <c r="G346" s="21"/>
      <c r="H346" s="19" t="s">
        <v>2</v>
      </c>
      <c r="I346" s="13"/>
      <c r="J346" s="16">
        <f t="shared" si="87"/>
        <v>0</v>
      </c>
      <c r="K346" s="304"/>
      <c r="L346" s="298"/>
      <c r="M346" s="298">
        <f t="shared" si="81"/>
        <v>0</v>
      </c>
      <c r="N346" s="16"/>
      <c r="O346" s="104"/>
      <c r="Q346" s="281"/>
      <c r="R346" s="281"/>
      <c r="S346" s="281"/>
      <c r="T346" s="281"/>
      <c r="U346" s="281"/>
    </row>
    <row r="347" spans="1:21" x14ac:dyDescent="0.3">
      <c r="A347" s="347" t="str">
        <f t="shared" si="79"/>
        <v>Exclude</v>
      </c>
      <c r="D347" s="425" t="s">
        <v>1301</v>
      </c>
      <c r="E347" s="44" t="s">
        <v>402</v>
      </c>
      <c r="F347" s="10"/>
      <c r="G347" s="21"/>
      <c r="H347" s="19" t="s">
        <v>38</v>
      </c>
      <c r="I347" s="13"/>
      <c r="J347" s="16">
        <f t="shared" si="87"/>
        <v>0</v>
      </c>
      <c r="K347" s="304"/>
      <c r="L347" s="298"/>
      <c r="M347" s="298">
        <f t="shared" si="81"/>
        <v>0</v>
      </c>
      <c r="N347" s="16"/>
      <c r="O347" s="104"/>
      <c r="Q347" s="281"/>
      <c r="R347" s="281"/>
      <c r="S347" s="281"/>
      <c r="T347" s="281"/>
      <c r="U347" s="281"/>
    </row>
    <row r="348" spans="1:21" x14ac:dyDescent="0.3">
      <c r="A348" s="347" t="str">
        <f t="shared" si="79"/>
        <v>Exclude</v>
      </c>
      <c r="D348" s="425" t="s">
        <v>1301</v>
      </c>
      <c r="E348" s="44" t="s">
        <v>1075</v>
      </c>
      <c r="F348" s="10" t="s">
        <v>1065</v>
      </c>
      <c r="G348" s="21"/>
      <c r="H348" s="19" t="s">
        <v>3</v>
      </c>
      <c r="I348" s="13">
        <v>40</v>
      </c>
      <c r="J348" s="16">
        <f t="shared" si="87"/>
        <v>0</v>
      </c>
      <c r="K348" s="304"/>
      <c r="L348" s="298"/>
      <c r="M348" s="298">
        <f t="shared" si="81"/>
        <v>0</v>
      </c>
      <c r="N348" s="16"/>
      <c r="O348" s="104"/>
      <c r="Q348" s="281"/>
      <c r="R348" s="281"/>
      <c r="S348" s="281"/>
      <c r="T348" s="281"/>
      <c r="U348" s="281"/>
    </row>
    <row r="349" spans="1:21" x14ac:dyDescent="0.3">
      <c r="A349" s="347" t="str">
        <f t="shared" si="79"/>
        <v>Exclude</v>
      </c>
      <c r="D349" s="425" t="s">
        <v>1301</v>
      </c>
      <c r="E349" s="44" t="s">
        <v>1075</v>
      </c>
      <c r="F349" s="10" t="s">
        <v>1066</v>
      </c>
      <c r="G349" s="21"/>
      <c r="H349" s="19" t="s">
        <v>3</v>
      </c>
      <c r="I349" s="13">
        <v>55</v>
      </c>
      <c r="J349" s="16">
        <f t="shared" si="87"/>
        <v>0</v>
      </c>
      <c r="K349" s="304"/>
      <c r="L349" s="298"/>
      <c r="M349" s="298">
        <f t="shared" si="81"/>
        <v>0</v>
      </c>
      <c r="N349" s="16"/>
      <c r="O349" s="104"/>
      <c r="Q349" s="281"/>
      <c r="R349" s="281"/>
      <c r="S349" s="281"/>
      <c r="T349" s="281"/>
      <c r="U349" s="281"/>
    </row>
    <row r="350" spans="1:21" x14ac:dyDescent="0.3">
      <c r="A350" s="347" t="str">
        <f t="shared" si="79"/>
        <v>Exclude</v>
      </c>
      <c r="D350" s="425" t="s">
        <v>1301</v>
      </c>
      <c r="E350" s="44" t="s">
        <v>1075</v>
      </c>
      <c r="F350" s="10" t="s">
        <v>1067</v>
      </c>
      <c r="G350" s="21"/>
      <c r="H350" s="19" t="s">
        <v>3</v>
      </c>
      <c r="I350" s="13">
        <v>70</v>
      </c>
      <c r="J350" s="16">
        <f t="shared" si="87"/>
        <v>0</v>
      </c>
      <c r="K350" s="304"/>
      <c r="L350" s="298"/>
      <c r="M350" s="298">
        <f t="shared" si="81"/>
        <v>0</v>
      </c>
      <c r="N350" s="16"/>
      <c r="O350" s="104"/>
      <c r="Q350" s="281"/>
      <c r="R350" s="281"/>
      <c r="S350" s="281"/>
      <c r="T350" s="281"/>
      <c r="U350" s="281"/>
    </row>
    <row r="351" spans="1:21" x14ac:dyDescent="0.3">
      <c r="A351" s="347" t="str">
        <f t="shared" si="79"/>
        <v>Exclude</v>
      </c>
      <c r="D351" s="425" t="s">
        <v>1301</v>
      </c>
      <c r="E351" s="44" t="s">
        <v>1075</v>
      </c>
      <c r="F351" s="10" t="s">
        <v>1068</v>
      </c>
      <c r="G351" s="21"/>
      <c r="H351" s="19" t="s">
        <v>3</v>
      </c>
      <c r="I351" s="13">
        <v>85</v>
      </c>
      <c r="J351" s="16">
        <f t="shared" si="87"/>
        <v>0</v>
      </c>
      <c r="K351" s="304"/>
      <c r="L351" s="298"/>
      <c r="M351" s="298">
        <f t="shared" si="81"/>
        <v>0</v>
      </c>
      <c r="N351" s="16"/>
      <c r="O351" s="104"/>
      <c r="Q351" s="281"/>
      <c r="R351" s="281"/>
      <c r="S351" s="281"/>
      <c r="T351" s="281"/>
      <c r="U351" s="281"/>
    </row>
    <row r="352" spans="1:21" x14ac:dyDescent="0.3">
      <c r="A352" s="347" t="str">
        <f t="shared" si="79"/>
        <v>Exclude</v>
      </c>
      <c r="D352" s="425" t="s">
        <v>1301</v>
      </c>
      <c r="E352" s="44" t="s">
        <v>1076</v>
      </c>
      <c r="F352" s="10" t="s">
        <v>1072</v>
      </c>
      <c r="G352" s="21"/>
      <c r="H352" s="19" t="s">
        <v>2</v>
      </c>
      <c r="I352" s="13">
        <v>1000</v>
      </c>
      <c r="J352" s="16">
        <f t="shared" si="87"/>
        <v>0</v>
      </c>
      <c r="K352" s="304"/>
      <c r="L352" s="298"/>
      <c r="M352" s="298">
        <f t="shared" si="81"/>
        <v>0</v>
      </c>
      <c r="N352" s="16"/>
      <c r="O352" s="104"/>
      <c r="Q352" s="281"/>
      <c r="R352" s="281"/>
      <c r="S352" s="281"/>
      <c r="T352" s="281"/>
      <c r="U352" s="281"/>
    </row>
    <row r="353" spans="1:21" x14ac:dyDescent="0.3">
      <c r="A353" s="347" t="str">
        <f t="shared" si="79"/>
        <v>Exclude</v>
      </c>
      <c r="D353" s="425" t="s">
        <v>1301</v>
      </c>
      <c r="E353" s="44" t="s">
        <v>1076</v>
      </c>
      <c r="F353" s="10" t="s">
        <v>1073</v>
      </c>
      <c r="G353" s="21"/>
      <c r="H353" s="19" t="s">
        <v>2</v>
      </c>
      <c r="I353" s="13">
        <v>1250</v>
      </c>
      <c r="J353" s="16">
        <f t="shared" si="87"/>
        <v>0</v>
      </c>
      <c r="K353" s="304"/>
      <c r="L353" s="298"/>
      <c r="M353" s="298">
        <f t="shared" si="81"/>
        <v>0</v>
      </c>
      <c r="N353" s="16"/>
      <c r="O353" s="104"/>
      <c r="Q353" s="281"/>
      <c r="R353" s="281"/>
      <c r="S353" s="281"/>
      <c r="T353" s="281"/>
      <c r="U353" s="281"/>
    </row>
    <row r="354" spans="1:21" x14ac:dyDescent="0.3">
      <c r="A354" s="347" t="str">
        <f t="shared" si="79"/>
        <v>Exclude</v>
      </c>
      <c r="D354" s="425" t="s">
        <v>1301</v>
      </c>
      <c r="E354" s="44" t="s">
        <v>1076</v>
      </c>
      <c r="F354" s="10" t="s">
        <v>1074</v>
      </c>
      <c r="G354" s="21"/>
      <c r="H354" s="19" t="s">
        <v>2</v>
      </c>
      <c r="I354" s="13">
        <v>1500</v>
      </c>
      <c r="J354" s="16">
        <f t="shared" si="87"/>
        <v>0</v>
      </c>
      <c r="K354" s="304"/>
      <c r="L354" s="298"/>
      <c r="M354" s="298">
        <f t="shared" si="81"/>
        <v>0</v>
      </c>
      <c r="N354" s="16"/>
      <c r="O354" s="104"/>
      <c r="Q354" s="281"/>
      <c r="R354" s="281"/>
      <c r="S354" s="281"/>
      <c r="T354" s="281"/>
      <c r="U354" s="281"/>
    </row>
    <row r="355" spans="1:21" x14ac:dyDescent="0.3">
      <c r="A355" s="347" t="str">
        <f t="shared" si="79"/>
        <v>Exclude</v>
      </c>
      <c r="D355" s="425" t="s">
        <v>1301</v>
      </c>
      <c r="E355" s="44" t="s">
        <v>1070</v>
      </c>
      <c r="F355" s="10"/>
      <c r="G355" s="21"/>
      <c r="H355" s="19" t="s">
        <v>3</v>
      </c>
      <c r="I355" s="13">
        <v>65</v>
      </c>
      <c r="J355" s="16">
        <f t="shared" si="87"/>
        <v>0</v>
      </c>
      <c r="K355" s="304"/>
      <c r="L355" s="298"/>
      <c r="M355" s="298">
        <f t="shared" si="81"/>
        <v>0</v>
      </c>
      <c r="N355" s="16"/>
      <c r="O355" s="104"/>
      <c r="Q355" s="281"/>
      <c r="R355" s="281"/>
      <c r="S355" s="281"/>
      <c r="T355" s="281"/>
      <c r="U355" s="281"/>
    </row>
    <row r="356" spans="1:21" x14ac:dyDescent="0.3">
      <c r="A356" s="347" t="str">
        <f t="shared" si="79"/>
        <v>Exclude</v>
      </c>
      <c r="D356" s="425" t="s">
        <v>1301</v>
      </c>
      <c r="E356" s="44" t="s">
        <v>1071</v>
      </c>
      <c r="F356" s="10"/>
      <c r="G356" s="21"/>
      <c r="H356" s="19" t="s">
        <v>2</v>
      </c>
      <c r="I356" s="13">
        <v>220</v>
      </c>
      <c r="J356" s="16">
        <f t="shared" si="87"/>
        <v>0</v>
      </c>
      <c r="K356" s="304"/>
      <c r="L356" s="298"/>
      <c r="M356" s="298">
        <f t="shared" si="81"/>
        <v>0</v>
      </c>
      <c r="N356" s="16"/>
      <c r="O356" s="104"/>
      <c r="Q356" s="281"/>
      <c r="R356" s="281"/>
      <c r="S356" s="281"/>
      <c r="T356" s="281"/>
      <c r="U356" s="281"/>
    </row>
    <row r="357" spans="1:21" x14ac:dyDescent="0.3">
      <c r="A357" s="347" t="str">
        <f t="shared" si="79"/>
        <v>Exclude</v>
      </c>
      <c r="D357" s="425" t="s">
        <v>1301</v>
      </c>
      <c r="E357" s="44" t="s">
        <v>1069</v>
      </c>
      <c r="F357" s="10"/>
      <c r="G357" s="21"/>
      <c r="H357" s="19" t="s">
        <v>3</v>
      </c>
      <c r="I357" s="13"/>
      <c r="J357" s="16">
        <f t="shared" si="87"/>
        <v>0</v>
      </c>
      <c r="K357" s="304"/>
      <c r="L357" s="298"/>
      <c r="M357" s="298">
        <f t="shared" si="81"/>
        <v>0</v>
      </c>
      <c r="N357" s="16"/>
      <c r="O357" s="104"/>
      <c r="Q357" s="281"/>
      <c r="R357" s="281"/>
      <c r="S357" s="281"/>
      <c r="T357" s="281"/>
      <c r="U357" s="281"/>
    </row>
    <row r="358" spans="1:21" x14ac:dyDescent="0.3">
      <c r="A358" s="347" t="str">
        <f t="shared" si="79"/>
        <v>Exclude</v>
      </c>
      <c r="D358" s="427" t="s">
        <v>1301</v>
      </c>
      <c r="E358" s="199" t="s">
        <v>943</v>
      </c>
      <c r="F358" s="200"/>
      <c r="G358" s="201"/>
      <c r="H358" s="202" t="s">
        <v>0</v>
      </c>
      <c r="I358" s="203"/>
      <c r="J358" s="203"/>
      <c r="K358" s="304"/>
      <c r="L358" s="302"/>
      <c r="M358" s="302">
        <f>IF(K358="x","Included in Sub Bid",G358*I358)</f>
        <v>0</v>
      </c>
      <c r="N358" s="16"/>
      <c r="O358" s="104"/>
      <c r="Q358" s="281"/>
      <c r="R358" s="281"/>
      <c r="S358" s="281"/>
      <c r="T358" s="281"/>
      <c r="U358" s="281"/>
    </row>
    <row r="359" spans="1:21" x14ac:dyDescent="0.3">
      <c r="A359" s="347" t="str">
        <f t="shared" si="79"/>
        <v>Exclude</v>
      </c>
      <c r="D359" s="427" t="s">
        <v>1301</v>
      </c>
      <c r="E359" s="199" t="s">
        <v>944</v>
      </c>
      <c r="F359" s="200"/>
      <c r="G359" s="201"/>
      <c r="H359" s="202" t="s">
        <v>0</v>
      </c>
      <c r="I359" s="203"/>
      <c r="J359" s="203"/>
      <c r="K359" s="304"/>
      <c r="L359" s="302"/>
      <c r="M359" s="302">
        <f>IF(K359="x","Included in Sub Bid",G359*I359)</f>
        <v>0</v>
      </c>
      <c r="N359" s="16"/>
      <c r="O359" s="104"/>
      <c r="Q359" s="281"/>
      <c r="R359" s="281"/>
      <c r="S359" s="281"/>
      <c r="T359" s="281"/>
      <c r="U359" s="281"/>
    </row>
    <row r="360" spans="1:21" x14ac:dyDescent="0.3">
      <c r="A360" s="347" t="str">
        <f t="shared" si="79"/>
        <v>Exclude</v>
      </c>
      <c r="D360" s="425"/>
      <c r="E360" s="44"/>
      <c r="F360" s="10"/>
      <c r="G360" s="27"/>
      <c r="H360" s="19"/>
      <c r="I360" s="13"/>
      <c r="J360" s="16"/>
      <c r="K360" s="304"/>
      <c r="L360" s="298"/>
      <c r="M360" s="298"/>
      <c r="N360" s="16"/>
      <c r="O360" s="104"/>
      <c r="Q360" s="281"/>
      <c r="R360" s="281"/>
      <c r="S360" s="281"/>
      <c r="T360" s="281"/>
      <c r="U360" s="281"/>
    </row>
    <row r="361" spans="1:21" x14ac:dyDescent="0.3">
      <c r="A361" s="347" t="str">
        <f t="shared" si="79"/>
        <v>Exclude</v>
      </c>
      <c r="D361" s="425"/>
      <c r="E361" s="39"/>
      <c r="F361" s="10"/>
      <c r="G361" s="32"/>
      <c r="H361" s="19"/>
      <c r="I361" s="13"/>
      <c r="J361" s="16"/>
      <c r="K361" s="301"/>
      <c r="L361" s="298"/>
      <c r="M361" s="298"/>
      <c r="N361" s="16"/>
      <c r="O361" s="114"/>
      <c r="Q361" s="281"/>
      <c r="R361" s="281"/>
      <c r="S361" s="281"/>
      <c r="T361" s="281"/>
      <c r="U361" s="281"/>
    </row>
    <row r="362" spans="1:21" ht="15.5" x14ac:dyDescent="0.3">
      <c r="A362" s="347" t="str">
        <f>IF(J362=0,"Exclude","x")</f>
        <v>Exclude</v>
      </c>
      <c r="D362" s="424" t="s">
        <v>819</v>
      </c>
      <c r="E362" s="69" t="s">
        <v>617</v>
      </c>
      <c r="F362" s="56"/>
      <c r="G362" s="57"/>
      <c r="H362" s="58"/>
      <c r="I362" s="59"/>
      <c r="J362" s="60">
        <f>SUBTOTAL(9,J363:J381)</f>
        <v>0</v>
      </c>
      <c r="K362" s="59">
        <f>IFERROR(J362/$G$6,0)</f>
        <v>0</v>
      </c>
      <c r="L362" s="309"/>
      <c r="M362" s="60"/>
      <c r="N362" s="59">
        <f>SUM(M363:M381)</f>
        <v>0</v>
      </c>
      <c r="O362" s="435">
        <f>IFERROR(N362/$G$6,0)</f>
        <v>0</v>
      </c>
      <c r="Q362" s="281"/>
      <c r="R362" s="281"/>
      <c r="S362" s="281"/>
      <c r="T362" s="281"/>
      <c r="U362" s="281"/>
    </row>
    <row r="363" spans="1:21" x14ac:dyDescent="0.3">
      <c r="A363" s="347" t="str">
        <f t="shared" si="79"/>
        <v>Exclude</v>
      </c>
      <c r="D363" s="426" t="s">
        <v>1301</v>
      </c>
      <c r="E363" s="39" t="s">
        <v>1203</v>
      </c>
      <c r="F363" s="24"/>
      <c r="G363" s="292"/>
      <c r="H363" s="25"/>
      <c r="I363" s="293"/>
      <c r="J363" s="293"/>
      <c r="K363" s="301"/>
      <c r="L363" s="300">
        <v>0</v>
      </c>
      <c r="M363" s="301">
        <f>L363</f>
        <v>0</v>
      </c>
      <c r="N363" s="293"/>
      <c r="O363" s="294"/>
      <c r="Q363" s="282"/>
      <c r="R363" s="281"/>
      <c r="S363" s="283"/>
      <c r="T363" s="283"/>
      <c r="U363" s="283"/>
    </row>
    <row r="364" spans="1:21" ht="12.75" customHeight="1" x14ac:dyDescent="0.3">
      <c r="A364" s="347" t="str">
        <f t="shared" si="79"/>
        <v>Exclude</v>
      </c>
      <c r="D364" s="425" t="s">
        <v>1301</v>
      </c>
      <c r="E364" s="44" t="s">
        <v>329</v>
      </c>
      <c r="F364" s="479" t="str">
        <f>CONCATENATE('Project Info Input'!C64," Inch Thick")</f>
        <v>7 Inch Thick</v>
      </c>
      <c r="G364" s="21">
        <f>G6</f>
        <v>0</v>
      </c>
      <c r="H364" s="29" t="s">
        <v>1</v>
      </c>
      <c r="I364" s="13">
        <v>4.5</v>
      </c>
      <c r="J364" s="16">
        <f>G364*I364</f>
        <v>0</v>
      </c>
      <c r="K364" s="304"/>
      <c r="L364" s="298"/>
      <c r="M364" s="298">
        <f t="shared" ref="M364:M377" si="88">IF(K364="x","Included in Sub Bid",J364)</f>
        <v>0</v>
      </c>
      <c r="N364" s="16"/>
      <c r="O364" s="104"/>
      <c r="Q364" s="281"/>
      <c r="R364" s="281"/>
      <c r="S364" s="281"/>
      <c r="T364" s="281"/>
      <c r="U364" s="281"/>
    </row>
    <row r="365" spans="1:21" ht="12.75" customHeight="1" x14ac:dyDescent="0.3">
      <c r="A365" s="347" t="str">
        <f t="shared" si="79"/>
        <v>Exclude</v>
      </c>
      <c r="D365" s="425" t="s">
        <v>1301</v>
      </c>
      <c r="E365" s="44" t="s">
        <v>328</v>
      </c>
      <c r="F365" s="10" t="s">
        <v>369</v>
      </c>
      <c r="G365" s="21"/>
      <c r="H365" s="29" t="s">
        <v>1</v>
      </c>
      <c r="I365" s="13"/>
      <c r="J365" s="16">
        <f t="shared" ref="J365" si="89">G365*I365</f>
        <v>0</v>
      </c>
      <c r="K365" s="304"/>
      <c r="L365" s="298"/>
      <c r="M365" s="298">
        <f t="shared" si="88"/>
        <v>0</v>
      </c>
      <c r="N365" s="16"/>
      <c r="O365" s="104"/>
      <c r="Q365" s="281"/>
      <c r="R365" s="281"/>
      <c r="S365" s="281"/>
      <c r="T365" s="281"/>
      <c r="U365" s="281"/>
    </row>
    <row r="366" spans="1:21" ht="12.75" customHeight="1" x14ac:dyDescent="0.3">
      <c r="A366" s="347" t="str">
        <f t="shared" si="79"/>
        <v>Exclude</v>
      </c>
      <c r="D366" s="425" t="s">
        <v>1301</v>
      </c>
      <c r="E366" s="44" t="s">
        <v>9</v>
      </c>
      <c r="F366" s="10"/>
      <c r="G366" s="21"/>
      <c r="H366" s="29" t="s">
        <v>1</v>
      </c>
      <c r="I366" s="13"/>
      <c r="J366" s="16">
        <f t="shared" ref="J366:J369" si="90">G366*I366</f>
        <v>0</v>
      </c>
      <c r="K366" s="304"/>
      <c r="L366" s="298"/>
      <c r="M366" s="298">
        <f t="shared" si="88"/>
        <v>0</v>
      </c>
      <c r="N366" s="16"/>
      <c r="O366" s="104"/>
      <c r="Q366" s="281"/>
      <c r="R366" s="281"/>
      <c r="S366" s="281"/>
      <c r="T366" s="281"/>
      <c r="U366" s="281"/>
    </row>
    <row r="367" spans="1:21" x14ac:dyDescent="0.3">
      <c r="A367" s="347" t="str">
        <f t="shared" si="79"/>
        <v>Exclude</v>
      </c>
      <c r="D367" s="425" t="s">
        <v>1301</v>
      </c>
      <c r="E367" s="44" t="s">
        <v>75</v>
      </c>
      <c r="F367" s="10"/>
      <c r="G367" s="18">
        <f>'Project Info Input'!C62</f>
        <v>0</v>
      </c>
      <c r="H367" s="29" t="s">
        <v>1</v>
      </c>
      <c r="I367" s="13">
        <v>0.1</v>
      </c>
      <c r="J367" s="16">
        <f>G367*I367</f>
        <v>0</v>
      </c>
      <c r="K367" s="304"/>
      <c r="L367" s="298"/>
      <c r="M367" s="298">
        <f t="shared" si="88"/>
        <v>0</v>
      </c>
      <c r="N367" s="16"/>
      <c r="O367" s="104"/>
      <c r="Q367" s="281"/>
      <c r="R367" s="281"/>
      <c r="S367" s="281"/>
      <c r="T367" s="281"/>
      <c r="U367" s="281"/>
    </row>
    <row r="368" spans="1:21" x14ac:dyDescent="0.3">
      <c r="A368" s="347" t="str">
        <f t="shared" si="79"/>
        <v>Exclude</v>
      </c>
      <c r="D368" s="425" t="s">
        <v>1301</v>
      </c>
      <c r="E368" s="44" t="s">
        <v>331</v>
      </c>
      <c r="F368" s="10"/>
      <c r="G368" s="316">
        <f>SUM(G834:G836)</f>
        <v>0</v>
      </c>
      <c r="H368" s="19" t="s">
        <v>2</v>
      </c>
      <c r="I368" s="13">
        <v>1600</v>
      </c>
      <c r="J368" s="16">
        <f>G368*I368</f>
        <v>0</v>
      </c>
      <c r="K368" s="304"/>
      <c r="L368" s="298"/>
      <c r="M368" s="298">
        <f>IF(K368="x","Included in Sub Bid",J368)</f>
        <v>0</v>
      </c>
      <c r="N368" s="16"/>
      <c r="O368" s="104"/>
      <c r="Q368" s="281"/>
      <c r="R368" s="281"/>
      <c r="S368" s="281"/>
      <c r="T368" s="281"/>
      <c r="U368" s="281"/>
    </row>
    <row r="369" spans="1:23" ht="12.75" customHeight="1" x14ac:dyDescent="0.3">
      <c r="A369" s="347" t="str">
        <f t="shared" si="79"/>
        <v>Exclude</v>
      </c>
      <c r="D369" s="425" t="s">
        <v>1301</v>
      </c>
      <c r="E369" s="44" t="s">
        <v>510</v>
      </c>
      <c r="F369" s="10"/>
      <c r="G369" s="21">
        <f>IF('Project Info Input'!C63="WWF",'Project Info Input'!C62,0)</f>
        <v>0</v>
      </c>
      <c r="H369" s="29" t="s">
        <v>1</v>
      </c>
      <c r="I369" s="13">
        <v>0.45</v>
      </c>
      <c r="J369" s="16">
        <f t="shared" si="90"/>
        <v>0</v>
      </c>
      <c r="K369" s="304"/>
      <c r="L369" s="298"/>
      <c r="M369" s="298">
        <f t="shared" si="88"/>
        <v>0</v>
      </c>
      <c r="N369" s="16"/>
      <c r="O369" s="104"/>
      <c r="Q369" s="281"/>
      <c r="R369" s="281"/>
      <c r="S369" s="281"/>
      <c r="T369" s="281"/>
      <c r="U369" s="281"/>
    </row>
    <row r="370" spans="1:23" ht="12.75" customHeight="1" x14ac:dyDescent="0.3">
      <c r="A370" s="347" t="str">
        <f t="shared" si="79"/>
        <v>Exclude</v>
      </c>
      <c r="D370" s="425" t="s">
        <v>1301</v>
      </c>
      <c r="E370" s="36" t="s">
        <v>153</v>
      </c>
      <c r="F370" s="10"/>
      <c r="G370" s="21">
        <f>IF('Project Info Input'!C63="Rebar",'Project Info Input'!C62,0)</f>
        <v>0</v>
      </c>
      <c r="H370" s="29" t="s">
        <v>1</v>
      </c>
      <c r="I370" s="13">
        <v>0.55000000000000004</v>
      </c>
      <c r="J370" s="16">
        <f t="shared" si="87"/>
        <v>0</v>
      </c>
      <c r="K370" s="304"/>
      <c r="L370" s="298"/>
      <c r="M370" s="298">
        <f t="shared" si="88"/>
        <v>0</v>
      </c>
      <c r="N370" s="16"/>
      <c r="O370" s="104"/>
      <c r="Q370" s="281"/>
      <c r="R370" s="281"/>
      <c r="S370" s="281"/>
      <c r="T370" s="281"/>
      <c r="U370" s="281"/>
      <c r="W370" s="30"/>
    </row>
    <row r="371" spans="1:23" ht="12.75" customHeight="1" x14ac:dyDescent="0.3">
      <c r="A371" s="347" t="str">
        <f t="shared" si="79"/>
        <v>Exclude</v>
      </c>
      <c r="D371" s="425" t="s">
        <v>1301</v>
      </c>
      <c r="E371" s="44" t="s">
        <v>1047</v>
      </c>
      <c r="F371" s="10"/>
      <c r="G371" s="21">
        <f>IF('Project Info Input'!C63="Fiber",'Project Info Input'!C62,0)</f>
        <v>0</v>
      </c>
      <c r="H371" s="29" t="s">
        <v>1</v>
      </c>
      <c r="I371" s="13">
        <v>0.65</v>
      </c>
      <c r="J371" s="16">
        <f>G371*I371</f>
        <v>0</v>
      </c>
      <c r="K371" s="304"/>
      <c r="L371" s="298"/>
      <c r="M371" s="298">
        <f t="shared" si="88"/>
        <v>0</v>
      </c>
      <c r="N371" s="16"/>
      <c r="O371" s="104"/>
      <c r="Q371" s="281"/>
      <c r="R371" s="281"/>
      <c r="S371" s="281"/>
      <c r="T371" s="281"/>
      <c r="U371" s="281"/>
    </row>
    <row r="372" spans="1:23" ht="12.75" customHeight="1" x14ac:dyDescent="0.3">
      <c r="A372" s="347" t="str">
        <f t="shared" si="79"/>
        <v>Exclude</v>
      </c>
      <c r="D372" s="425" t="s">
        <v>1301</v>
      </c>
      <c r="E372" s="44" t="s">
        <v>351</v>
      </c>
      <c r="F372" s="10" t="s">
        <v>580</v>
      </c>
      <c r="G372" s="21"/>
      <c r="H372" s="29" t="s">
        <v>1</v>
      </c>
      <c r="I372" s="13">
        <v>0.55000000000000004</v>
      </c>
      <c r="J372" s="16">
        <f t="shared" si="87"/>
        <v>0</v>
      </c>
      <c r="K372" s="304"/>
      <c r="L372" s="298"/>
      <c r="M372" s="298">
        <f t="shared" si="88"/>
        <v>0</v>
      </c>
      <c r="N372" s="16"/>
      <c r="O372" s="104"/>
      <c r="Q372" s="281"/>
      <c r="R372" s="281"/>
      <c r="S372" s="281"/>
      <c r="T372" s="281"/>
      <c r="U372" s="281"/>
    </row>
    <row r="373" spans="1:23" ht="12.75" customHeight="1" x14ac:dyDescent="0.3">
      <c r="A373" s="347" t="str">
        <f t="shared" si="79"/>
        <v>Exclude</v>
      </c>
      <c r="D373" s="425" t="s">
        <v>1301</v>
      </c>
      <c r="E373" s="44" t="s">
        <v>768</v>
      </c>
      <c r="F373" s="10"/>
      <c r="G373" s="21"/>
      <c r="H373" s="29" t="s">
        <v>3</v>
      </c>
      <c r="I373" s="13">
        <v>3</v>
      </c>
      <c r="J373" s="16">
        <f t="shared" si="87"/>
        <v>0</v>
      </c>
      <c r="K373" s="304"/>
      <c r="L373" s="298"/>
      <c r="M373" s="298">
        <f t="shared" si="88"/>
        <v>0</v>
      </c>
      <c r="N373" s="16"/>
      <c r="O373" s="104"/>
      <c r="Q373" s="281"/>
      <c r="R373" s="281"/>
      <c r="S373" s="281"/>
      <c r="T373" s="281"/>
      <c r="U373" s="281"/>
    </row>
    <row r="374" spans="1:23" ht="12.75" customHeight="1" x14ac:dyDescent="0.3">
      <c r="A374" s="347" t="str">
        <f t="shared" si="79"/>
        <v>Exclude</v>
      </c>
      <c r="D374" s="425" t="s">
        <v>1301</v>
      </c>
      <c r="E374" s="44" t="s">
        <v>769</v>
      </c>
      <c r="F374" s="10"/>
      <c r="G374" s="21"/>
      <c r="H374" s="29" t="s">
        <v>3</v>
      </c>
      <c r="I374" s="13">
        <v>30</v>
      </c>
      <c r="J374" s="16">
        <f t="shared" si="87"/>
        <v>0</v>
      </c>
      <c r="K374" s="304"/>
      <c r="L374" s="298"/>
      <c r="M374" s="298">
        <f t="shared" si="88"/>
        <v>0</v>
      </c>
      <c r="N374" s="16"/>
      <c r="O374" s="104"/>
      <c r="Q374" s="281"/>
      <c r="R374" s="281"/>
      <c r="S374" s="281"/>
      <c r="T374" s="281"/>
      <c r="U374" s="281"/>
    </row>
    <row r="375" spans="1:23" ht="12.75" customHeight="1" x14ac:dyDescent="0.3">
      <c r="A375" s="347" t="str">
        <f t="shared" si="79"/>
        <v>Exclude</v>
      </c>
      <c r="D375" s="425" t="s">
        <v>1301</v>
      </c>
      <c r="E375" s="44" t="s">
        <v>154</v>
      </c>
      <c r="F375" s="10"/>
      <c r="G375" s="21"/>
      <c r="H375" s="29" t="s">
        <v>38</v>
      </c>
      <c r="I375" s="13">
        <v>275</v>
      </c>
      <c r="J375" s="16">
        <f t="shared" si="87"/>
        <v>0</v>
      </c>
      <c r="K375" s="304"/>
      <c r="L375" s="298"/>
      <c r="M375" s="298">
        <f t="shared" si="88"/>
        <v>0</v>
      </c>
      <c r="N375" s="16"/>
      <c r="O375" s="104"/>
      <c r="Q375" s="281"/>
      <c r="R375" s="281"/>
      <c r="S375" s="281"/>
      <c r="T375" s="281"/>
      <c r="U375" s="281"/>
    </row>
    <row r="376" spans="1:23" ht="12.75" customHeight="1" x14ac:dyDescent="0.3">
      <c r="A376" s="347" t="str">
        <f t="shared" si="79"/>
        <v>Exclude</v>
      </c>
      <c r="D376" s="425" t="s">
        <v>1301</v>
      </c>
      <c r="E376" s="44" t="s">
        <v>172</v>
      </c>
      <c r="F376" s="10"/>
      <c r="G376" s="18">
        <f>'Project Info Input'!C65</f>
        <v>0</v>
      </c>
      <c r="H376" s="29" t="s">
        <v>1</v>
      </c>
      <c r="I376" s="13">
        <v>10</v>
      </c>
      <c r="J376" s="16">
        <f t="shared" si="87"/>
        <v>0</v>
      </c>
      <c r="K376" s="304"/>
      <c r="L376" s="298"/>
      <c r="M376" s="298">
        <f t="shared" si="88"/>
        <v>0</v>
      </c>
      <c r="N376" s="16"/>
      <c r="O376" s="104"/>
      <c r="Q376" s="281"/>
      <c r="R376" s="281"/>
      <c r="S376" s="281"/>
      <c r="T376" s="281"/>
      <c r="U376" s="281"/>
    </row>
    <row r="377" spans="1:23" x14ac:dyDescent="0.3">
      <c r="A377" s="347" t="str">
        <f t="shared" si="79"/>
        <v>Exclude</v>
      </c>
      <c r="D377" s="425" t="s">
        <v>1301</v>
      </c>
      <c r="E377" s="44" t="s">
        <v>402</v>
      </c>
      <c r="F377" s="10"/>
      <c r="G377" s="18"/>
      <c r="H377" s="29" t="s">
        <v>38</v>
      </c>
      <c r="I377" s="13"/>
      <c r="J377" s="16">
        <f t="shared" si="87"/>
        <v>0</v>
      </c>
      <c r="K377" s="304"/>
      <c r="L377" s="298"/>
      <c r="M377" s="298">
        <f t="shared" si="88"/>
        <v>0</v>
      </c>
      <c r="N377" s="16"/>
      <c r="O377" s="104"/>
      <c r="Q377" s="281"/>
      <c r="R377" s="281"/>
      <c r="S377" s="281"/>
      <c r="T377" s="281"/>
      <c r="U377" s="281"/>
    </row>
    <row r="378" spans="1:23" x14ac:dyDescent="0.3">
      <c r="A378" s="347" t="str">
        <f t="shared" si="79"/>
        <v>Exclude</v>
      </c>
      <c r="D378" s="427" t="s">
        <v>1301</v>
      </c>
      <c r="E378" s="199" t="s">
        <v>943</v>
      </c>
      <c r="F378" s="200"/>
      <c r="G378" s="201"/>
      <c r="H378" s="202" t="s">
        <v>0</v>
      </c>
      <c r="I378" s="203"/>
      <c r="J378" s="203"/>
      <c r="K378" s="304"/>
      <c r="L378" s="302"/>
      <c r="M378" s="302">
        <f>IF(K378="x","Included in Sub Bid",G378*I378)</f>
        <v>0</v>
      </c>
      <c r="N378" s="16"/>
      <c r="O378" s="104"/>
      <c r="Q378" s="281"/>
      <c r="R378" s="281"/>
      <c r="S378" s="281"/>
      <c r="T378" s="281"/>
      <c r="U378" s="281"/>
    </row>
    <row r="379" spans="1:23" x14ac:dyDescent="0.3">
      <c r="A379" s="347" t="str">
        <f t="shared" si="79"/>
        <v>Exclude</v>
      </c>
      <c r="D379" s="427" t="s">
        <v>1301</v>
      </c>
      <c r="E379" s="199" t="s">
        <v>944</v>
      </c>
      <c r="F379" s="200"/>
      <c r="G379" s="201"/>
      <c r="H379" s="202" t="s">
        <v>0</v>
      </c>
      <c r="I379" s="203"/>
      <c r="J379" s="203"/>
      <c r="K379" s="304"/>
      <c r="L379" s="302"/>
      <c r="M379" s="302">
        <f>IF(K379="x","Included in Sub Bid",G379*I379)</f>
        <v>0</v>
      </c>
      <c r="N379" s="16"/>
      <c r="O379" s="104"/>
      <c r="Q379" s="281"/>
      <c r="R379" s="281"/>
      <c r="S379" s="281"/>
      <c r="T379" s="281"/>
      <c r="U379" s="281"/>
    </row>
    <row r="380" spans="1:23" x14ac:dyDescent="0.3">
      <c r="A380" s="347" t="str">
        <f t="shared" si="79"/>
        <v>Exclude</v>
      </c>
      <c r="D380" s="425"/>
      <c r="E380" s="36"/>
      <c r="F380" s="10"/>
      <c r="G380" s="21"/>
      <c r="H380" s="12"/>
      <c r="I380" s="13"/>
      <c r="J380" s="16"/>
      <c r="K380" s="304"/>
      <c r="L380" s="298"/>
      <c r="M380" s="298"/>
      <c r="N380" s="16"/>
      <c r="O380" s="104"/>
      <c r="Q380" s="281"/>
      <c r="R380" s="281"/>
      <c r="S380" s="281"/>
      <c r="T380" s="281"/>
      <c r="U380" s="281"/>
    </row>
    <row r="381" spans="1:23" x14ac:dyDescent="0.3">
      <c r="A381" s="347" t="str">
        <f t="shared" si="79"/>
        <v>Exclude</v>
      </c>
      <c r="D381" s="425"/>
      <c r="E381" s="45"/>
      <c r="F381" s="10"/>
      <c r="G381" s="21"/>
      <c r="H381" s="12"/>
      <c r="I381" s="13"/>
      <c r="J381" s="16"/>
      <c r="K381" s="301"/>
      <c r="L381" s="298"/>
      <c r="M381" s="298"/>
      <c r="N381" s="16"/>
      <c r="O381" s="114"/>
      <c r="Q381" s="281"/>
      <c r="R381" s="281"/>
      <c r="S381" s="281"/>
      <c r="T381" s="281"/>
      <c r="U381" s="281"/>
    </row>
    <row r="382" spans="1:23" ht="15.5" x14ac:dyDescent="0.3">
      <c r="A382" s="347" t="str">
        <f>IF(J382=0,"Exclude","x")</f>
        <v>Exclude</v>
      </c>
      <c r="D382" s="424" t="s">
        <v>813</v>
      </c>
      <c r="E382" s="69" t="s">
        <v>620</v>
      </c>
      <c r="F382" s="56"/>
      <c r="G382" s="57"/>
      <c r="H382" s="58"/>
      <c r="I382" s="59"/>
      <c r="J382" s="60">
        <f>SUBTOTAL(9,J383:J389)</f>
        <v>0</v>
      </c>
      <c r="K382" s="59">
        <f>IFERROR(J382/$G$6,0)</f>
        <v>0</v>
      </c>
      <c r="L382" s="309"/>
      <c r="M382" s="60"/>
      <c r="N382" s="59">
        <f>SUM(M383:M389)</f>
        <v>0</v>
      </c>
      <c r="O382" s="435">
        <f>IFERROR(N382/$G$6,0)</f>
        <v>0</v>
      </c>
      <c r="Q382" s="281"/>
      <c r="R382" s="281"/>
      <c r="S382" s="281"/>
      <c r="T382" s="281"/>
      <c r="U382" s="281"/>
    </row>
    <row r="383" spans="1:23" x14ac:dyDescent="0.3">
      <c r="A383" s="347" t="str">
        <f t="shared" si="79"/>
        <v>Exclude</v>
      </c>
      <c r="D383" s="426" t="s">
        <v>1302</v>
      </c>
      <c r="E383" s="39" t="s">
        <v>1203</v>
      </c>
      <c r="F383" s="24"/>
      <c r="G383" s="292"/>
      <c r="H383" s="25"/>
      <c r="I383" s="293"/>
      <c r="J383" s="293"/>
      <c r="K383" s="301"/>
      <c r="L383" s="300">
        <v>0</v>
      </c>
      <c r="M383" s="301">
        <f>L383</f>
        <v>0</v>
      </c>
      <c r="N383" s="293"/>
      <c r="O383" s="294"/>
      <c r="Q383" s="282"/>
      <c r="R383" s="281"/>
      <c r="S383" s="283"/>
      <c r="T383" s="283"/>
      <c r="U383" s="283"/>
    </row>
    <row r="384" spans="1:23" x14ac:dyDescent="0.3">
      <c r="A384" s="347" t="str">
        <f t="shared" si="79"/>
        <v>Exclude</v>
      </c>
      <c r="D384" s="425" t="s">
        <v>1302</v>
      </c>
      <c r="E384" s="44" t="s">
        <v>76</v>
      </c>
      <c r="F384" s="10"/>
      <c r="G384" s="21"/>
      <c r="H384" s="19" t="s">
        <v>1</v>
      </c>
      <c r="I384" s="13">
        <v>0.18</v>
      </c>
      <c r="J384" s="16">
        <f>G384*I384</f>
        <v>0</v>
      </c>
      <c r="K384" s="304"/>
      <c r="L384" s="298"/>
      <c r="M384" s="298">
        <f t="shared" ref="M384:M385" si="91">IF(K384="x","Included in Sub Bid",J384)</f>
        <v>0</v>
      </c>
      <c r="N384" s="16"/>
      <c r="O384" s="104"/>
      <c r="Q384" s="281"/>
      <c r="R384" s="281"/>
      <c r="S384" s="281"/>
      <c r="T384" s="281"/>
      <c r="U384" s="281"/>
    </row>
    <row r="385" spans="1:21" x14ac:dyDescent="0.3">
      <c r="A385" s="347" t="str">
        <f t="shared" si="79"/>
        <v>Exclude</v>
      </c>
      <c r="D385" s="425" t="s">
        <v>1302</v>
      </c>
      <c r="E385" s="44" t="s">
        <v>14</v>
      </c>
      <c r="F385" s="10"/>
      <c r="G385" s="21"/>
      <c r="H385" s="19" t="s">
        <v>1</v>
      </c>
      <c r="I385" s="13">
        <v>0.09</v>
      </c>
      <c r="J385" s="16">
        <f t="shared" ref="J385" si="92">G385*I385</f>
        <v>0</v>
      </c>
      <c r="K385" s="304"/>
      <c r="L385" s="298"/>
      <c r="M385" s="298">
        <f t="shared" si="91"/>
        <v>0</v>
      </c>
      <c r="N385" s="16"/>
      <c r="O385" s="104"/>
      <c r="Q385" s="281"/>
      <c r="R385" s="281"/>
      <c r="S385" s="281"/>
      <c r="T385" s="281"/>
      <c r="U385" s="281"/>
    </row>
    <row r="386" spans="1:21" x14ac:dyDescent="0.3">
      <c r="A386" s="347" t="str">
        <f t="shared" si="79"/>
        <v>Exclude</v>
      </c>
      <c r="D386" s="427" t="s">
        <v>1302</v>
      </c>
      <c r="E386" s="199" t="s">
        <v>943</v>
      </c>
      <c r="F386" s="200"/>
      <c r="G386" s="201"/>
      <c r="H386" s="202" t="s">
        <v>0</v>
      </c>
      <c r="I386" s="203"/>
      <c r="J386" s="203"/>
      <c r="K386" s="304"/>
      <c r="L386" s="302"/>
      <c r="M386" s="302">
        <f>IF(K386="x","Included in Sub Bid",G386*I386)</f>
        <v>0</v>
      </c>
      <c r="N386" s="16"/>
      <c r="O386" s="104"/>
      <c r="Q386" s="281"/>
      <c r="R386" s="281"/>
      <c r="S386" s="281"/>
      <c r="T386" s="281"/>
      <c r="U386" s="281"/>
    </row>
    <row r="387" spans="1:21" x14ac:dyDescent="0.3">
      <c r="A387" s="347" t="str">
        <f t="shared" si="79"/>
        <v>Exclude</v>
      </c>
      <c r="D387" s="427" t="s">
        <v>1302</v>
      </c>
      <c r="E387" s="199" t="s">
        <v>944</v>
      </c>
      <c r="F387" s="200"/>
      <c r="G387" s="201"/>
      <c r="H387" s="202" t="s">
        <v>0</v>
      </c>
      <c r="I387" s="203"/>
      <c r="J387" s="203"/>
      <c r="K387" s="304"/>
      <c r="L387" s="302"/>
      <c r="M387" s="302">
        <f>IF(K387="x","Included in Sub Bid",G387*I387)</f>
        <v>0</v>
      </c>
      <c r="N387" s="16"/>
      <c r="O387" s="104"/>
      <c r="Q387" s="281"/>
      <c r="R387" s="281"/>
      <c r="S387" s="281"/>
      <c r="T387" s="281"/>
      <c r="U387" s="281"/>
    </row>
    <row r="388" spans="1:21" x14ac:dyDescent="0.3">
      <c r="A388" s="347" t="str">
        <f t="shared" si="79"/>
        <v>Exclude</v>
      </c>
      <c r="D388" s="425"/>
      <c r="E388" s="11"/>
      <c r="F388" s="10"/>
      <c r="G388" s="21"/>
      <c r="H388" s="12"/>
      <c r="I388" s="13"/>
      <c r="J388" s="16"/>
      <c r="K388" s="304"/>
      <c r="L388" s="298"/>
      <c r="M388" s="298"/>
      <c r="N388" s="16"/>
      <c r="O388" s="104"/>
      <c r="Q388" s="281"/>
      <c r="R388" s="281"/>
      <c r="S388" s="281"/>
      <c r="T388" s="281"/>
      <c r="U388" s="281"/>
    </row>
    <row r="389" spans="1:21" x14ac:dyDescent="0.3">
      <c r="A389" s="347" t="str">
        <f t="shared" si="79"/>
        <v>Exclude</v>
      </c>
      <c r="D389" s="425"/>
      <c r="E389" s="39"/>
      <c r="F389" s="10"/>
      <c r="G389" s="21"/>
      <c r="H389" s="12"/>
      <c r="I389" s="13"/>
      <c r="J389" s="16"/>
      <c r="K389" s="301"/>
      <c r="L389" s="298"/>
      <c r="M389" s="298"/>
      <c r="N389" s="16"/>
      <c r="O389" s="114"/>
      <c r="Q389" s="281"/>
      <c r="R389" s="281"/>
      <c r="S389" s="281"/>
      <c r="T389" s="281"/>
      <c r="U389" s="281"/>
    </row>
    <row r="390" spans="1:21" ht="15.5" x14ac:dyDescent="0.3">
      <c r="A390" s="347" t="str">
        <f>IF(J390=0,"Exclude","x")</f>
        <v>Exclude</v>
      </c>
      <c r="D390" s="424" t="s">
        <v>819</v>
      </c>
      <c r="E390" s="69" t="s">
        <v>618</v>
      </c>
      <c r="F390" s="56"/>
      <c r="G390" s="57"/>
      <c r="H390" s="58"/>
      <c r="I390" s="59"/>
      <c r="J390" s="60">
        <f>SUBTOTAL(9,J391:J403)</f>
        <v>0</v>
      </c>
      <c r="K390" s="59">
        <f>IFERROR(J390/$G$6,0)</f>
        <v>0</v>
      </c>
      <c r="L390" s="309"/>
      <c r="M390" s="60"/>
      <c r="N390" s="59">
        <f>SUM(M391:M403)</f>
        <v>0</v>
      </c>
      <c r="O390" s="435">
        <f>IFERROR(N390/$G$6,0)</f>
        <v>0</v>
      </c>
      <c r="Q390" s="281"/>
      <c r="R390" s="281"/>
      <c r="S390" s="281"/>
      <c r="T390" s="281"/>
      <c r="U390" s="281"/>
    </row>
    <row r="391" spans="1:21" x14ac:dyDescent="0.3">
      <c r="A391" s="347" t="str">
        <f t="shared" si="79"/>
        <v>Exclude</v>
      </c>
      <c r="D391" s="426" t="s">
        <v>1303</v>
      </c>
      <c r="E391" s="39" t="s">
        <v>1203</v>
      </c>
      <c r="F391" s="24"/>
      <c r="G391" s="292"/>
      <c r="H391" s="25"/>
      <c r="I391" s="293"/>
      <c r="J391" s="293"/>
      <c r="K391" s="301"/>
      <c r="L391" s="300">
        <v>0</v>
      </c>
      <c r="M391" s="301">
        <f>L391</f>
        <v>0</v>
      </c>
      <c r="N391" s="293"/>
      <c r="O391" s="294"/>
      <c r="Q391" s="282"/>
      <c r="R391" s="281"/>
      <c r="S391" s="283"/>
      <c r="T391" s="283"/>
      <c r="U391" s="283"/>
    </row>
    <row r="392" spans="1:21" x14ac:dyDescent="0.3">
      <c r="A392" s="347" t="str">
        <f t="shared" si="79"/>
        <v>Exclude</v>
      </c>
      <c r="D392" s="425" t="s">
        <v>1303</v>
      </c>
      <c r="E392" s="46" t="s">
        <v>174</v>
      </c>
      <c r="F392" s="262"/>
      <c r="G392" s="21">
        <f>'Project Info Input'!C67</f>
        <v>0</v>
      </c>
      <c r="H392" s="12" t="s">
        <v>1</v>
      </c>
      <c r="I392" s="13">
        <v>12.5</v>
      </c>
      <c r="J392" s="16">
        <f>G392*I392</f>
        <v>0</v>
      </c>
      <c r="K392" s="304"/>
      <c r="L392" s="298"/>
      <c r="M392" s="298">
        <f t="shared" ref="M392:M398" si="93">IF(K392="x","Included in Sub Bid",J392)</f>
        <v>0</v>
      </c>
      <c r="N392" s="16"/>
      <c r="O392" s="104"/>
      <c r="Q392" s="281"/>
      <c r="R392" s="281"/>
      <c r="S392" s="281"/>
      <c r="T392" s="281"/>
      <c r="U392" s="281"/>
    </row>
    <row r="393" spans="1:21" x14ac:dyDescent="0.3">
      <c r="A393" s="347" t="str">
        <f t="shared" si="79"/>
        <v>Exclude</v>
      </c>
      <c r="D393" s="425" t="s">
        <v>1303</v>
      </c>
      <c r="E393" s="46" t="s">
        <v>153</v>
      </c>
      <c r="F393" s="262">
        <v>3.75</v>
      </c>
      <c r="G393" s="21">
        <f>G392*F393/2000</f>
        <v>0</v>
      </c>
      <c r="H393" s="12" t="s">
        <v>254</v>
      </c>
      <c r="I393" s="13">
        <v>1950</v>
      </c>
      <c r="J393" s="16" t="s">
        <v>1112</v>
      </c>
      <c r="K393" s="304"/>
      <c r="L393" s="298"/>
      <c r="M393" s="298" t="str">
        <f t="shared" si="93"/>
        <v>Included</v>
      </c>
      <c r="N393" s="16"/>
      <c r="O393" s="104"/>
      <c r="Q393" s="281"/>
      <c r="R393" s="281"/>
      <c r="S393" s="281"/>
      <c r="T393" s="281"/>
      <c r="U393" s="281"/>
    </row>
    <row r="394" spans="1:21" x14ac:dyDescent="0.3">
      <c r="A394" s="347" t="str">
        <f t="shared" si="79"/>
        <v>Exclude</v>
      </c>
      <c r="D394" s="425" t="s">
        <v>1303</v>
      </c>
      <c r="E394" s="46" t="s">
        <v>169</v>
      </c>
      <c r="F394" s="10"/>
      <c r="G394" s="21">
        <f>'Project Info Input'!C68</f>
        <v>0</v>
      </c>
      <c r="H394" s="12" t="s">
        <v>1</v>
      </c>
      <c r="I394" s="13">
        <f>I392</f>
        <v>12.5</v>
      </c>
      <c r="J394" s="16">
        <f>G394*I394</f>
        <v>0</v>
      </c>
      <c r="K394" s="304"/>
      <c r="L394" s="298"/>
      <c r="M394" s="298">
        <f t="shared" si="93"/>
        <v>0</v>
      </c>
      <c r="N394" s="16"/>
      <c r="O394" s="104"/>
      <c r="Q394" s="281"/>
      <c r="R394" s="281"/>
      <c r="S394" s="281"/>
      <c r="T394" s="281"/>
      <c r="U394" s="281"/>
    </row>
    <row r="395" spans="1:21" x14ac:dyDescent="0.3">
      <c r="A395" s="347" t="str">
        <f t="shared" si="79"/>
        <v>Exclude</v>
      </c>
      <c r="D395" s="425" t="s">
        <v>1303</v>
      </c>
      <c r="E395" s="46" t="s">
        <v>1108</v>
      </c>
      <c r="F395" s="10"/>
      <c r="G395" s="21"/>
      <c r="H395" s="12" t="s">
        <v>1</v>
      </c>
      <c r="I395" s="13">
        <v>2.25</v>
      </c>
      <c r="J395" s="16">
        <f t="shared" ref="J395:J398" si="94">G395*I395</f>
        <v>0</v>
      </c>
      <c r="K395" s="304"/>
      <c r="L395" s="298"/>
      <c r="M395" s="298">
        <f t="shared" si="93"/>
        <v>0</v>
      </c>
      <c r="N395" s="16"/>
      <c r="O395" s="104"/>
      <c r="Q395" s="281"/>
      <c r="R395" s="281"/>
      <c r="S395" s="281"/>
      <c r="T395" s="281"/>
      <c r="U395" s="281"/>
    </row>
    <row r="396" spans="1:21" x14ac:dyDescent="0.3">
      <c r="A396" s="347" t="str">
        <f t="shared" si="79"/>
        <v>Exclude</v>
      </c>
      <c r="D396" s="425" t="s">
        <v>1303</v>
      </c>
      <c r="E396" s="46" t="s">
        <v>1109</v>
      </c>
      <c r="F396" s="10"/>
      <c r="G396" s="21"/>
      <c r="H396" s="12" t="s">
        <v>1</v>
      </c>
      <c r="I396" s="13">
        <v>6</v>
      </c>
      <c r="J396" s="16">
        <f t="shared" si="94"/>
        <v>0</v>
      </c>
      <c r="K396" s="304"/>
      <c r="L396" s="298"/>
      <c r="M396" s="298">
        <f t="shared" si="93"/>
        <v>0</v>
      </c>
      <c r="N396" s="16"/>
      <c r="O396" s="104"/>
      <c r="Q396" s="281"/>
      <c r="R396" s="281"/>
      <c r="S396" s="281"/>
      <c r="T396" s="281"/>
      <c r="U396" s="281"/>
    </row>
    <row r="397" spans="1:21" x14ac:dyDescent="0.3">
      <c r="A397" s="347" t="str">
        <f t="shared" ref="A397:A403" si="95">A396</f>
        <v>Exclude</v>
      </c>
      <c r="D397" s="425" t="s">
        <v>1303</v>
      </c>
      <c r="E397" s="46" t="s">
        <v>1110</v>
      </c>
      <c r="F397" s="10"/>
      <c r="G397" s="21"/>
      <c r="H397" s="12" t="s">
        <v>3</v>
      </c>
      <c r="I397" s="13">
        <v>55</v>
      </c>
      <c r="J397" s="16">
        <f t="shared" si="94"/>
        <v>0</v>
      </c>
      <c r="K397" s="304"/>
      <c r="L397" s="298"/>
      <c r="M397" s="298">
        <f t="shared" si="93"/>
        <v>0</v>
      </c>
      <c r="N397" s="16"/>
      <c r="O397" s="104"/>
      <c r="Q397" s="281"/>
      <c r="R397" s="281"/>
      <c r="S397" s="281"/>
      <c r="T397" s="281"/>
      <c r="U397" s="281"/>
    </row>
    <row r="398" spans="1:21" x14ac:dyDescent="0.3">
      <c r="A398" s="347" t="str">
        <f t="shared" si="95"/>
        <v>Exclude</v>
      </c>
      <c r="D398" s="425" t="s">
        <v>1303</v>
      </c>
      <c r="E398" s="46" t="s">
        <v>1111</v>
      </c>
      <c r="F398" s="10"/>
      <c r="G398" s="21"/>
      <c r="H398" s="12" t="s">
        <v>3</v>
      </c>
      <c r="I398" s="13">
        <v>110</v>
      </c>
      <c r="J398" s="16">
        <f t="shared" si="94"/>
        <v>0</v>
      </c>
      <c r="K398" s="304"/>
      <c r="L398" s="298"/>
      <c r="M398" s="298">
        <f t="shared" si="93"/>
        <v>0</v>
      </c>
      <c r="N398" s="16"/>
      <c r="O398" s="104"/>
      <c r="Q398" s="281"/>
      <c r="R398" s="281"/>
      <c r="S398" s="281"/>
      <c r="T398" s="281"/>
      <c r="U398" s="281"/>
    </row>
    <row r="399" spans="1:21" x14ac:dyDescent="0.3">
      <c r="A399" s="347" t="str">
        <f t="shared" si="95"/>
        <v>Exclude</v>
      </c>
      <c r="D399" s="425" t="s">
        <v>1303</v>
      </c>
      <c r="E399" s="46" t="s">
        <v>1249</v>
      </c>
      <c r="F399" s="10"/>
      <c r="G399" s="21"/>
      <c r="H399" s="12" t="s">
        <v>1</v>
      </c>
      <c r="I399" s="13">
        <v>18</v>
      </c>
      <c r="J399" s="16">
        <f t="shared" ref="J399" si="96">G399*I399</f>
        <v>0</v>
      </c>
      <c r="K399" s="304"/>
      <c r="L399" s="298"/>
      <c r="M399" s="298">
        <f t="shared" ref="M399" si="97">IF(K399="x","Included in Sub Bid",J399)</f>
        <v>0</v>
      </c>
      <c r="N399" s="16"/>
      <c r="O399" s="104"/>
      <c r="Q399" s="281"/>
      <c r="R399" s="281"/>
      <c r="S399" s="281"/>
      <c r="T399" s="281"/>
      <c r="U399" s="281"/>
    </row>
    <row r="400" spans="1:21" x14ac:dyDescent="0.3">
      <c r="A400" s="347" t="str">
        <f t="shared" si="95"/>
        <v>Exclude</v>
      </c>
      <c r="D400" s="427" t="s">
        <v>1303</v>
      </c>
      <c r="E400" s="199" t="s">
        <v>943</v>
      </c>
      <c r="F400" s="200"/>
      <c r="G400" s="201"/>
      <c r="H400" s="202" t="s">
        <v>0</v>
      </c>
      <c r="I400" s="203"/>
      <c r="J400" s="203"/>
      <c r="K400" s="304"/>
      <c r="L400" s="302"/>
      <c r="M400" s="302">
        <f>IF(K400="x","Included in Sub Bid",G400*I400)</f>
        <v>0</v>
      </c>
      <c r="N400" s="16"/>
      <c r="O400" s="104"/>
      <c r="Q400" s="281"/>
      <c r="R400" s="281"/>
      <c r="S400" s="281"/>
      <c r="T400" s="281"/>
      <c r="U400" s="281"/>
    </row>
    <row r="401" spans="1:21" x14ac:dyDescent="0.3">
      <c r="A401" s="347" t="str">
        <f t="shared" si="95"/>
        <v>Exclude</v>
      </c>
      <c r="D401" s="427" t="s">
        <v>1303</v>
      </c>
      <c r="E401" s="199" t="s">
        <v>944</v>
      </c>
      <c r="F401" s="200"/>
      <c r="G401" s="201"/>
      <c r="H401" s="202" t="s">
        <v>0</v>
      </c>
      <c r="I401" s="203"/>
      <c r="J401" s="203"/>
      <c r="K401" s="304"/>
      <c r="L401" s="302"/>
      <c r="M401" s="302">
        <f>IF(K401="x","Included in Sub Bid",G401*I401)</f>
        <v>0</v>
      </c>
      <c r="N401" s="16"/>
      <c r="O401" s="104"/>
      <c r="Q401" s="281"/>
      <c r="R401" s="281"/>
      <c r="S401" s="281"/>
      <c r="T401" s="281"/>
      <c r="U401" s="281"/>
    </row>
    <row r="402" spans="1:21" x14ac:dyDescent="0.3">
      <c r="A402" s="347" t="str">
        <f t="shared" si="95"/>
        <v>Exclude</v>
      </c>
      <c r="D402" s="425"/>
      <c r="E402" s="39"/>
      <c r="F402" s="10"/>
      <c r="G402" s="21"/>
      <c r="H402" s="12"/>
      <c r="I402" s="13"/>
      <c r="J402" s="16"/>
      <c r="K402" s="304"/>
      <c r="L402" s="298"/>
      <c r="M402" s="298"/>
      <c r="N402" s="16"/>
      <c r="O402" s="114"/>
      <c r="Q402" s="281"/>
      <c r="R402" s="281"/>
      <c r="S402" s="281"/>
      <c r="T402" s="281"/>
      <c r="U402" s="281"/>
    </row>
    <row r="403" spans="1:21" x14ac:dyDescent="0.3">
      <c r="A403" s="347" t="str">
        <f t="shared" si="95"/>
        <v>Exclude</v>
      </c>
      <c r="D403" s="425"/>
      <c r="E403" s="39"/>
      <c r="F403" s="10"/>
      <c r="G403" s="21"/>
      <c r="H403" s="12"/>
      <c r="I403" s="13"/>
      <c r="J403" s="16"/>
      <c r="K403" s="301"/>
      <c r="L403" s="298"/>
      <c r="M403" s="298"/>
      <c r="N403" s="16"/>
      <c r="O403" s="114"/>
      <c r="Q403" s="281"/>
      <c r="R403" s="281"/>
      <c r="S403" s="281"/>
      <c r="T403" s="281"/>
      <c r="U403" s="281"/>
    </row>
    <row r="404" spans="1:21" ht="15.5" x14ac:dyDescent="0.3">
      <c r="A404" s="347" t="str">
        <f>IF(J404=0,"Exclude","x")</f>
        <v>Exclude</v>
      </c>
      <c r="D404" s="424" t="s">
        <v>819</v>
      </c>
      <c r="E404" s="69" t="s">
        <v>619</v>
      </c>
      <c r="F404" s="56"/>
      <c r="G404" s="57"/>
      <c r="H404" s="58"/>
      <c r="I404" s="59"/>
      <c r="J404" s="60">
        <f>SUBTOTAL(9,J405:J416)</f>
        <v>0</v>
      </c>
      <c r="K404" s="59">
        <f>IFERROR(J404/$G$6,0)</f>
        <v>0</v>
      </c>
      <c r="L404" s="309"/>
      <c r="M404" s="60"/>
      <c r="N404" s="59">
        <f>SUM(M405:M416)</f>
        <v>0</v>
      </c>
      <c r="O404" s="435">
        <f>IFERROR(N404/$G$6,0)</f>
        <v>0</v>
      </c>
      <c r="Q404" s="281"/>
      <c r="R404" s="281"/>
      <c r="S404" s="281"/>
      <c r="T404" s="281"/>
      <c r="U404" s="281"/>
    </row>
    <row r="405" spans="1:21" x14ac:dyDescent="0.3">
      <c r="A405" s="347" t="str">
        <f t="shared" ref="A405:A416" si="98">A404</f>
        <v>Exclude</v>
      </c>
      <c r="D405" s="426" t="s">
        <v>1304</v>
      </c>
      <c r="E405" s="39" t="s">
        <v>1203</v>
      </c>
      <c r="F405" s="24"/>
      <c r="G405" s="292"/>
      <c r="H405" s="25"/>
      <c r="I405" s="293"/>
      <c r="J405" s="293"/>
      <c r="K405" s="301"/>
      <c r="L405" s="300">
        <v>0</v>
      </c>
      <c r="M405" s="301">
        <f>L405</f>
        <v>0</v>
      </c>
      <c r="N405" s="293"/>
      <c r="O405" s="294"/>
      <c r="Q405" s="282"/>
      <c r="R405" s="281"/>
      <c r="S405" s="283"/>
      <c r="T405" s="283"/>
      <c r="U405" s="283"/>
    </row>
    <row r="406" spans="1:21" x14ac:dyDescent="0.3">
      <c r="A406" s="347" t="str">
        <f t="shared" si="98"/>
        <v>Exclude</v>
      </c>
      <c r="D406" s="425" t="s">
        <v>1304</v>
      </c>
      <c r="E406" s="44" t="s">
        <v>77</v>
      </c>
      <c r="F406" s="10"/>
      <c r="G406" s="21">
        <f>ROUNDUP(IF('Project Info Input'!C43=0,0,G211*6+G458*2+G6/40000*3+4+10),0)</f>
        <v>0</v>
      </c>
      <c r="H406" s="12" t="s">
        <v>2</v>
      </c>
      <c r="I406" s="13">
        <v>300</v>
      </c>
      <c r="J406" s="16">
        <f t="shared" ref="J406:J412" si="99">G406*I406</f>
        <v>0</v>
      </c>
      <c r="K406" s="304"/>
      <c r="L406" s="298"/>
      <c r="M406" s="298">
        <f t="shared" ref="M406:M412" si="100">IF(K406="x","Included in Sub Bid",J406)</f>
        <v>0</v>
      </c>
      <c r="N406" s="16"/>
      <c r="O406" s="104"/>
      <c r="Q406" s="281"/>
      <c r="R406" s="281"/>
      <c r="S406" s="281"/>
      <c r="T406" s="281"/>
      <c r="U406" s="281"/>
    </row>
    <row r="407" spans="1:21" x14ac:dyDescent="0.3">
      <c r="A407" s="347" t="str">
        <f t="shared" si="98"/>
        <v>Exclude</v>
      </c>
      <c r="D407" s="425" t="s">
        <v>1304</v>
      </c>
      <c r="E407" s="36" t="s">
        <v>326</v>
      </c>
      <c r="F407" s="10"/>
      <c r="G407" s="21"/>
      <c r="H407" s="12" t="s">
        <v>2</v>
      </c>
      <c r="I407" s="13"/>
      <c r="J407" s="16">
        <f t="shared" si="99"/>
        <v>0</v>
      </c>
      <c r="K407" s="304"/>
      <c r="L407" s="298"/>
      <c r="M407" s="298">
        <f t="shared" si="100"/>
        <v>0</v>
      </c>
      <c r="N407" s="16"/>
      <c r="O407" s="104"/>
      <c r="Q407" s="281"/>
      <c r="R407" s="281"/>
      <c r="S407" s="281"/>
      <c r="T407" s="281"/>
      <c r="U407" s="281"/>
    </row>
    <row r="408" spans="1:21" x14ac:dyDescent="0.3">
      <c r="A408" s="347" t="str">
        <f t="shared" si="98"/>
        <v>Exclude</v>
      </c>
      <c r="D408" s="425" t="s">
        <v>1304</v>
      </c>
      <c r="E408" s="36" t="s">
        <v>327</v>
      </c>
      <c r="F408" s="10"/>
      <c r="G408" s="21"/>
      <c r="H408" s="12" t="s">
        <v>2</v>
      </c>
      <c r="I408" s="13"/>
      <c r="J408" s="16">
        <f t="shared" si="99"/>
        <v>0</v>
      </c>
      <c r="K408" s="304"/>
      <c r="L408" s="298"/>
      <c r="M408" s="298">
        <f t="shared" si="100"/>
        <v>0</v>
      </c>
      <c r="N408" s="16"/>
      <c r="O408" s="104"/>
      <c r="Q408" s="281"/>
      <c r="R408" s="281"/>
      <c r="S408" s="281"/>
      <c r="T408" s="281"/>
      <c r="U408" s="281"/>
    </row>
    <row r="409" spans="1:21" ht="12.75" customHeight="1" x14ac:dyDescent="0.3">
      <c r="A409" s="347" t="str">
        <f t="shared" si="98"/>
        <v>Exclude</v>
      </c>
      <c r="D409" s="425" t="s">
        <v>1304</v>
      </c>
      <c r="E409" s="36" t="s">
        <v>78</v>
      </c>
      <c r="F409" s="10"/>
      <c r="G409" s="21"/>
      <c r="H409" s="12" t="s">
        <v>3</v>
      </c>
      <c r="I409" s="13">
        <v>25</v>
      </c>
      <c r="J409" s="16">
        <f t="shared" si="99"/>
        <v>0</v>
      </c>
      <c r="K409" s="304"/>
      <c r="L409" s="298"/>
      <c r="M409" s="298">
        <f t="shared" si="100"/>
        <v>0</v>
      </c>
      <c r="N409" s="16"/>
      <c r="O409" s="104"/>
      <c r="Q409" s="281"/>
      <c r="R409" s="281"/>
      <c r="S409" s="281"/>
      <c r="T409" s="281"/>
      <c r="U409" s="281"/>
    </row>
    <row r="410" spans="1:21" x14ac:dyDescent="0.3">
      <c r="A410" s="347" t="str">
        <f t="shared" si="98"/>
        <v>Exclude</v>
      </c>
      <c r="D410" s="425" t="s">
        <v>1304</v>
      </c>
      <c r="E410" s="36" t="s">
        <v>30</v>
      </c>
      <c r="F410" s="10"/>
      <c r="G410" s="21"/>
      <c r="H410" s="12" t="s">
        <v>2</v>
      </c>
      <c r="I410" s="13">
        <v>1500</v>
      </c>
      <c r="J410" s="16">
        <f t="shared" si="99"/>
        <v>0</v>
      </c>
      <c r="K410" s="304"/>
      <c r="L410" s="298"/>
      <c r="M410" s="298">
        <f t="shared" si="100"/>
        <v>0</v>
      </c>
      <c r="N410" s="16"/>
      <c r="O410" s="104"/>
      <c r="Q410" s="281"/>
      <c r="R410" s="281"/>
      <c r="S410" s="281"/>
      <c r="T410" s="281"/>
      <c r="U410" s="281"/>
    </row>
    <row r="411" spans="1:21" x14ac:dyDescent="0.3">
      <c r="A411" s="347" t="str">
        <f t="shared" si="98"/>
        <v>Exclude</v>
      </c>
      <c r="D411" s="425" t="s">
        <v>1304</v>
      </c>
      <c r="E411" s="36" t="s">
        <v>160</v>
      </c>
      <c r="F411" s="10"/>
      <c r="G411" s="21">
        <f>'Project Info Input'!C32*(IF('Project Info Input'!C48="Cross Dock",2,1))*0.8</f>
        <v>0</v>
      </c>
      <c r="H411" s="12" t="s">
        <v>20</v>
      </c>
      <c r="I411" s="13">
        <v>35</v>
      </c>
      <c r="J411" s="16">
        <f t="shared" si="99"/>
        <v>0</v>
      </c>
      <c r="K411" s="304"/>
      <c r="L411" s="298"/>
      <c r="M411" s="298">
        <f t="shared" si="100"/>
        <v>0</v>
      </c>
      <c r="N411" s="16"/>
      <c r="O411" s="104"/>
      <c r="Q411" s="281"/>
      <c r="R411" s="281"/>
      <c r="S411" s="281"/>
      <c r="T411" s="281"/>
      <c r="U411" s="281"/>
    </row>
    <row r="412" spans="1:21" x14ac:dyDescent="0.3">
      <c r="A412" s="347" t="str">
        <f t="shared" si="98"/>
        <v>Exclude</v>
      </c>
      <c r="D412" s="425" t="s">
        <v>1304</v>
      </c>
      <c r="E412" s="36" t="s">
        <v>161</v>
      </c>
      <c r="F412" s="10"/>
      <c r="G412" s="21">
        <f>G6</f>
        <v>0</v>
      </c>
      <c r="H412" s="12" t="s">
        <v>1</v>
      </c>
      <c r="I412" s="13">
        <v>0.05</v>
      </c>
      <c r="J412" s="16">
        <f t="shared" si="99"/>
        <v>0</v>
      </c>
      <c r="K412" s="304"/>
      <c r="L412" s="298"/>
      <c r="M412" s="298">
        <f t="shared" si="100"/>
        <v>0</v>
      </c>
      <c r="N412" s="16"/>
      <c r="O412" s="104"/>
      <c r="Q412" s="281"/>
      <c r="R412" s="281"/>
      <c r="S412" s="281"/>
      <c r="T412" s="281"/>
      <c r="U412" s="281"/>
    </row>
    <row r="413" spans="1:21" x14ac:dyDescent="0.3">
      <c r="A413" s="347" t="str">
        <f t="shared" si="98"/>
        <v>Exclude</v>
      </c>
      <c r="D413" s="427" t="s">
        <v>1303</v>
      </c>
      <c r="E413" s="199" t="s">
        <v>943</v>
      </c>
      <c r="F413" s="200"/>
      <c r="G413" s="201"/>
      <c r="H413" s="202" t="s">
        <v>0</v>
      </c>
      <c r="I413" s="203"/>
      <c r="J413" s="203"/>
      <c r="K413" s="304"/>
      <c r="L413" s="302"/>
      <c r="M413" s="302">
        <f>IF(K413="x","Included in Sub Bid",G413*I413)</f>
        <v>0</v>
      </c>
      <c r="N413" s="16"/>
      <c r="O413" s="104"/>
      <c r="Q413" s="281"/>
      <c r="R413" s="281"/>
      <c r="S413" s="281"/>
      <c r="T413" s="281"/>
      <c r="U413" s="281"/>
    </row>
    <row r="414" spans="1:21" x14ac:dyDescent="0.3">
      <c r="A414" s="347" t="str">
        <f t="shared" si="98"/>
        <v>Exclude</v>
      </c>
      <c r="D414" s="427" t="s">
        <v>1303</v>
      </c>
      <c r="E414" s="199" t="s">
        <v>944</v>
      </c>
      <c r="F414" s="200"/>
      <c r="G414" s="201"/>
      <c r="H414" s="202" t="s">
        <v>0</v>
      </c>
      <c r="I414" s="203"/>
      <c r="J414" s="203"/>
      <c r="K414" s="304"/>
      <c r="L414" s="302"/>
      <c r="M414" s="302">
        <f>IF(K414="x","Included in Sub Bid",G414*I414)</f>
        <v>0</v>
      </c>
      <c r="N414" s="16"/>
      <c r="O414" s="104"/>
      <c r="Q414" s="281"/>
      <c r="R414" s="281"/>
      <c r="S414" s="281"/>
      <c r="T414" s="281"/>
      <c r="U414" s="281"/>
    </row>
    <row r="415" spans="1:21" x14ac:dyDescent="0.3">
      <c r="A415" s="347" t="str">
        <f t="shared" si="98"/>
        <v>Exclude</v>
      </c>
      <c r="D415" s="425"/>
      <c r="E415" s="11"/>
      <c r="F415" s="10"/>
      <c r="G415" s="21"/>
      <c r="H415" s="12"/>
      <c r="I415" s="13"/>
      <c r="J415" s="16"/>
      <c r="K415" s="304"/>
      <c r="L415" s="298"/>
      <c r="M415" s="298"/>
      <c r="N415" s="16"/>
      <c r="O415" s="104"/>
      <c r="Q415" s="281"/>
      <c r="R415" s="281"/>
      <c r="S415" s="281"/>
      <c r="T415" s="281"/>
      <c r="U415" s="281"/>
    </row>
    <row r="416" spans="1:21" x14ac:dyDescent="0.3">
      <c r="A416" s="347" t="str">
        <f t="shared" si="98"/>
        <v>Exclude</v>
      </c>
      <c r="D416" s="425"/>
      <c r="E416" s="39"/>
      <c r="F416" s="10"/>
      <c r="G416" s="21"/>
      <c r="H416" s="12"/>
      <c r="I416" s="13"/>
      <c r="J416" s="16"/>
      <c r="K416" s="301"/>
      <c r="L416" s="298"/>
      <c r="M416" s="298"/>
      <c r="N416" s="16"/>
      <c r="O416" s="114"/>
      <c r="Q416" s="281"/>
      <c r="R416" s="281"/>
      <c r="S416" s="281"/>
      <c r="T416" s="281"/>
      <c r="U416" s="281"/>
    </row>
    <row r="417" spans="1:21" ht="15.5" x14ac:dyDescent="0.35">
      <c r="A417" s="347" t="str">
        <f>IF(J417=0,"Exclude","x")</f>
        <v>Exclude</v>
      </c>
      <c r="D417" s="431"/>
      <c r="E417" s="68" t="s">
        <v>108</v>
      </c>
      <c r="F417" s="63"/>
      <c r="G417" s="64"/>
      <c r="H417" s="65"/>
      <c r="I417" s="66"/>
      <c r="J417" s="66">
        <f>SUBTOTAL(9,J418:J427)</f>
        <v>0</v>
      </c>
      <c r="K417" s="438">
        <f>IFERROR(J417/$G$6,0)</f>
        <v>0</v>
      </c>
      <c r="L417" s="311"/>
      <c r="M417" s="66"/>
      <c r="N417" s="66">
        <f>N418</f>
        <v>0</v>
      </c>
      <c r="O417" s="317">
        <f>IFERROR(N417/$G$6,0)</f>
        <v>0</v>
      </c>
      <c r="Q417" s="281"/>
      <c r="R417" s="281"/>
      <c r="S417" s="281"/>
      <c r="T417" s="281"/>
      <c r="U417" s="281"/>
    </row>
    <row r="418" spans="1:21" ht="15.5" x14ac:dyDescent="0.3">
      <c r="A418" s="347" t="str">
        <f>IF(J418=0,"Exclude","x")</f>
        <v>Exclude</v>
      </c>
      <c r="D418" s="424" t="s">
        <v>818</v>
      </c>
      <c r="E418" s="69" t="s">
        <v>108</v>
      </c>
      <c r="F418" s="56"/>
      <c r="G418" s="57"/>
      <c r="H418" s="58"/>
      <c r="I418" s="59"/>
      <c r="J418" s="60">
        <f>SUBTOTAL(9,J419:J427)</f>
        <v>0</v>
      </c>
      <c r="K418" s="59">
        <f>IFERROR(J418/$G$6,0)</f>
        <v>0</v>
      </c>
      <c r="L418" s="309"/>
      <c r="M418" s="60"/>
      <c r="N418" s="59">
        <f>SUM(M419:M427)</f>
        <v>0</v>
      </c>
      <c r="O418" s="435">
        <f>IFERROR(N418/$G$6,0)</f>
        <v>0</v>
      </c>
      <c r="Q418" s="281"/>
      <c r="R418" s="281"/>
      <c r="S418" s="281"/>
      <c r="T418" s="281"/>
      <c r="U418" s="281"/>
    </row>
    <row r="419" spans="1:21" x14ac:dyDescent="0.3">
      <c r="A419" s="347" t="str">
        <f t="shared" ref="A419:A427" si="101">A418</f>
        <v>Exclude</v>
      </c>
      <c r="D419" s="426" t="s">
        <v>1305</v>
      </c>
      <c r="E419" s="39" t="s">
        <v>1203</v>
      </c>
      <c r="F419" s="24"/>
      <c r="G419" s="292"/>
      <c r="H419" s="25"/>
      <c r="I419" s="293"/>
      <c r="J419" s="293"/>
      <c r="K419" s="301"/>
      <c r="L419" s="300">
        <v>0</v>
      </c>
      <c r="M419" s="301">
        <f>L419</f>
        <v>0</v>
      </c>
      <c r="N419" s="293"/>
      <c r="O419" s="294"/>
      <c r="Q419" s="282"/>
      <c r="R419" s="281"/>
      <c r="S419" s="283"/>
      <c r="T419" s="283"/>
      <c r="U419" s="283"/>
    </row>
    <row r="420" spans="1:21" x14ac:dyDescent="0.3">
      <c r="A420" s="347" t="str">
        <f t="shared" si="101"/>
        <v>Exclude</v>
      </c>
      <c r="D420" s="425" t="s">
        <v>1305</v>
      </c>
      <c r="E420" s="44" t="s">
        <v>612</v>
      </c>
      <c r="F420" s="10"/>
      <c r="G420" s="21"/>
      <c r="H420" s="19" t="s">
        <v>1</v>
      </c>
      <c r="I420" s="13">
        <v>15</v>
      </c>
      <c r="J420" s="16">
        <f>G420*I420</f>
        <v>0</v>
      </c>
      <c r="K420" s="304"/>
      <c r="L420" s="298"/>
      <c r="M420" s="298">
        <f t="shared" ref="M420:M423" si="102">IF(K420="x","Included in Sub Bid",J420)</f>
        <v>0</v>
      </c>
      <c r="N420" s="16"/>
      <c r="O420" s="104"/>
      <c r="Q420" s="281"/>
      <c r="R420" s="281"/>
      <c r="S420" s="281"/>
      <c r="T420" s="281"/>
      <c r="U420" s="281"/>
    </row>
    <row r="421" spans="1:21" x14ac:dyDescent="0.3">
      <c r="A421" s="347" t="str">
        <f t="shared" si="101"/>
        <v>Exclude</v>
      </c>
      <c r="D421" s="425" t="s">
        <v>1305</v>
      </c>
      <c r="E421" s="44" t="s">
        <v>613</v>
      </c>
      <c r="F421" s="10"/>
      <c r="G421" s="21"/>
      <c r="H421" s="19" t="s">
        <v>1</v>
      </c>
      <c r="I421" s="13">
        <v>15</v>
      </c>
      <c r="J421" s="16">
        <f t="shared" ref="J421:J423" si="103">G421*I421</f>
        <v>0</v>
      </c>
      <c r="K421" s="304"/>
      <c r="L421" s="298"/>
      <c r="M421" s="298">
        <f t="shared" si="102"/>
        <v>0</v>
      </c>
      <c r="N421" s="16"/>
      <c r="O421" s="104"/>
      <c r="Q421" s="281"/>
      <c r="R421" s="281"/>
      <c r="S421" s="281"/>
      <c r="T421" s="281"/>
      <c r="U421" s="281"/>
    </row>
    <row r="422" spans="1:21" x14ac:dyDescent="0.3">
      <c r="A422" s="347" t="str">
        <f t="shared" si="101"/>
        <v>Exclude</v>
      </c>
      <c r="D422" s="425" t="s">
        <v>1305</v>
      </c>
      <c r="E422" s="44" t="s">
        <v>1113</v>
      </c>
      <c r="F422" s="10"/>
      <c r="G422" s="21"/>
      <c r="H422" s="19" t="s">
        <v>1</v>
      </c>
      <c r="I422" s="13">
        <v>25</v>
      </c>
      <c r="J422" s="16">
        <f t="shared" ref="J422" si="104">G422*I422</f>
        <v>0</v>
      </c>
      <c r="K422" s="304"/>
      <c r="L422" s="298"/>
      <c r="M422" s="298">
        <f t="shared" si="102"/>
        <v>0</v>
      </c>
      <c r="N422" s="16"/>
      <c r="O422" s="104"/>
      <c r="Q422" s="281"/>
      <c r="R422" s="281"/>
      <c r="S422" s="281"/>
      <c r="T422" s="281"/>
      <c r="U422" s="281"/>
    </row>
    <row r="423" spans="1:21" x14ac:dyDescent="0.3">
      <c r="A423" s="347" t="str">
        <f t="shared" si="101"/>
        <v>Exclude</v>
      </c>
      <c r="D423" s="425" t="s">
        <v>1305</v>
      </c>
      <c r="E423" s="44" t="s">
        <v>614</v>
      </c>
      <c r="F423" s="10"/>
      <c r="G423" s="21"/>
      <c r="H423" s="19" t="s">
        <v>1</v>
      </c>
      <c r="I423" s="13">
        <v>20</v>
      </c>
      <c r="J423" s="16">
        <f t="shared" si="103"/>
        <v>0</v>
      </c>
      <c r="K423" s="304"/>
      <c r="L423" s="298"/>
      <c r="M423" s="298">
        <f t="shared" si="102"/>
        <v>0</v>
      </c>
      <c r="N423" s="16"/>
      <c r="O423" s="104"/>
      <c r="Q423" s="281"/>
      <c r="R423" s="281"/>
      <c r="S423" s="281"/>
      <c r="T423" s="281"/>
      <c r="U423" s="281"/>
    </row>
    <row r="424" spans="1:21" x14ac:dyDescent="0.3">
      <c r="A424" s="347" t="str">
        <f t="shared" si="101"/>
        <v>Exclude</v>
      </c>
      <c r="D424" s="427" t="s">
        <v>1305</v>
      </c>
      <c r="E424" s="199" t="s">
        <v>943</v>
      </c>
      <c r="F424" s="200"/>
      <c r="G424" s="201"/>
      <c r="H424" s="202" t="s">
        <v>0</v>
      </c>
      <c r="I424" s="203"/>
      <c r="J424" s="203"/>
      <c r="K424" s="304"/>
      <c r="L424" s="302"/>
      <c r="M424" s="302">
        <f>IF(K424="x","Included in Sub Bid",G424*I424)</f>
        <v>0</v>
      </c>
      <c r="N424" s="16"/>
      <c r="O424" s="104"/>
      <c r="Q424" s="281"/>
      <c r="R424" s="281"/>
      <c r="S424" s="281"/>
      <c r="T424" s="281"/>
      <c r="U424" s="281"/>
    </row>
    <row r="425" spans="1:21" x14ac:dyDescent="0.3">
      <c r="A425" s="347" t="str">
        <f t="shared" si="101"/>
        <v>Exclude</v>
      </c>
      <c r="D425" s="427" t="s">
        <v>1305</v>
      </c>
      <c r="E425" s="199" t="s">
        <v>944</v>
      </c>
      <c r="F425" s="200"/>
      <c r="G425" s="201"/>
      <c r="H425" s="202" t="s">
        <v>0</v>
      </c>
      <c r="I425" s="203"/>
      <c r="J425" s="203"/>
      <c r="K425" s="304"/>
      <c r="L425" s="302"/>
      <c r="M425" s="302">
        <f>IF(K425="x","Included in Sub Bid",G425*I425)</f>
        <v>0</v>
      </c>
      <c r="N425" s="16"/>
      <c r="O425" s="104"/>
      <c r="Q425" s="281"/>
      <c r="R425" s="281"/>
      <c r="S425" s="281"/>
      <c r="T425" s="281"/>
      <c r="U425" s="281"/>
    </row>
    <row r="426" spans="1:21" x14ac:dyDescent="0.3">
      <c r="A426" s="347" t="str">
        <f t="shared" si="101"/>
        <v>Exclude</v>
      </c>
      <c r="D426" s="425"/>
      <c r="E426" s="39"/>
      <c r="F426" s="10"/>
      <c r="G426" s="21"/>
      <c r="H426" s="12"/>
      <c r="I426" s="13"/>
      <c r="J426" s="16"/>
      <c r="K426" s="304"/>
      <c r="L426" s="298"/>
      <c r="M426" s="298"/>
      <c r="N426" s="16"/>
      <c r="O426" s="104"/>
      <c r="Q426" s="281"/>
      <c r="R426" s="281"/>
      <c r="S426" s="281"/>
      <c r="T426" s="281"/>
      <c r="U426" s="281"/>
    </row>
    <row r="427" spans="1:21" x14ac:dyDescent="0.3">
      <c r="A427" s="347" t="str">
        <f t="shared" si="101"/>
        <v>Exclude</v>
      </c>
      <c r="D427" s="425"/>
      <c r="E427" s="45"/>
      <c r="F427" s="10"/>
      <c r="G427" s="21"/>
      <c r="H427" s="19"/>
      <c r="I427" s="13"/>
      <c r="J427" s="16"/>
      <c r="K427" s="301"/>
      <c r="L427" s="298"/>
      <c r="M427" s="298"/>
      <c r="N427" s="16"/>
      <c r="O427" s="114"/>
      <c r="Q427" s="281"/>
      <c r="R427" s="281"/>
      <c r="S427" s="281"/>
      <c r="T427" s="281"/>
      <c r="U427" s="281"/>
    </row>
    <row r="428" spans="1:21" ht="15.5" x14ac:dyDescent="0.35">
      <c r="A428" s="347" t="str">
        <f>IF(J428=0,"Exclude","x")</f>
        <v>x</v>
      </c>
      <c r="D428" s="431"/>
      <c r="E428" s="68" t="s">
        <v>107</v>
      </c>
      <c r="F428" s="63"/>
      <c r="G428" s="64"/>
      <c r="H428" s="65"/>
      <c r="I428" s="66"/>
      <c r="J428" s="66">
        <f>SUBTOTAL(9,J429:J509)</f>
        <v>4500</v>
      </c>
      <c r="K428" s="438">
        <f>IFERROR(J428/$G$6,0)</f>
        <v>0</v>
      </c>
      <c r="L428" s="311"/>
      <c r="M428" s="66"/>
      <c r="N428" s="66">
        <f>N429+N455+N478+N495</f>
        <v>4500</v>
      </c>
      <c r="O428" s="317">
        <f>IFERROR(N428/$G$6,0)</f>
        <v>0</v>
      </c>
      <c r="Q428" s="281"/>
      <c r="R428" s="281"/>
      <c r="S428" s="281"/>
      <c r="T428" s="281"/>
      <c r="U428" s="281"/>
    </row>
    <row r="429" spans="1:21" s="30" customFormat="1" ht="15.5" x14ac:dyDescent="0.3">
      <c r="A429" s="347" t="str">
        <f>IF(J429=0,"Exclude","x")</f>
        <v>Exclude</v>
      </c>
      <c r="D429" s="424" t="s">
        <v>817</v>
      </c>
      <c r="E429" s="69" t="s">
        <v>621</v>
      </c>
      <c r="F429" s="56"/>
      <c r="G429" s="57"/>
      <c r="H429" s="58"/>
      <c r="I429" s="59"/>
      <c r="J429" s="60">
        <f>SUBTOTAL(9,J430:J454)</f>
        <v>0</v>
      </c>
      <c r="K429" s="59">
        <f>IFERROR(J429/$G$6,0)</f>
        <v>0</v>
      </c>
      <c r="L429" s="309"/>
      <c r="M429" s="60"/>
      <c r="N429" s="59">
        <f>SUM(M430:M454)</f>
        <v>0</v>
      </c>
      <c r="O429" s="435">
        <f>IFERROR(N429/$G$6,0)</f>
        <v>0</v>
      </c>
      <c r="Q429" s="287"/>
      <c r="R429" s="287"/>
      <c r="S429" s="287"/>
      <c r="T429" s="287"/>
      <c r="U429" s="287"/>
    </row>
    <row r="430" spans="1:21" x14ac:dyDescent="0.3">
      <c r="A430" s="347" t="str">
        <f t="shared" ref="A430:A454" si="105">A429</f>
        <v>Exclude</v>
      </c>
      <c r="D430" s="426" t="s">
        <v>1306</v>
      </c>
      <c r="E430" s="39" t="s">
        <v>1203</v>
      </c>
      <c r="F430" s="24"/>
      <c r="G430" s="292"/>
      <c r="H430" s="25"/>
      <c r="I430" s="293"/>
      <c r="J430" s="293"/>
      <c r="K430" s="301"/>
      <c r="L430" s="300">
        <v>0</v>
      </c>
      <c r="M430" s="301">
        <f>L430</f>
        <v>0</v>
      </c>
      <c r="N430" s="293"/>
      <c r="O430" s="294"/>
      <c r="Q430" s="282"/>
      <c r="R430" s="281"/>
      <c r="S430" s="283"/>
      <c r="T430" s="283"/>
      <c r="U430" s="283"/>
    </row>
    <row r="431" spans="1:21" s="30" customFormat="1" x14ac:dyDescent="0.3">
      <c r="A431" s="347" t="str">
        <f t="shared" si="105"/>
        <v>Exclude</v>
      </c>
      <c r="D431" s="425" t="s">
        <v>1306</v>
      </c>
      <c r="E431" s="44" t="s">
        <v>317</v>
      </c>
      <c r="F431" s="312">
        <f>'Project Info Input'!C71</f>
        <v>0.8</v>
      </c>
      <c r="G431" s="21">
        <f>G6*F431/2000</f>
        <v>0</v>
      </c>
      <c r="H431" s="19" t="s">
        <v>20</v>
      </c>
      <c r="I431" s="13">
        <v>2850</v>
      </c>
      <c r="J431" s="16">
        <f>G431*I431</f>
        <v>0</v>
      </c>
      <c r="K431" s="304"/>
      <c r="L431" s="298"/>
      <c r="M431" s="298">
        <f t="shared" ref="M431:M448" si="106">IF(K431="x","Included in Sub Bid",J431)</f>
        <v>0</v>
      </c>
      <c r="N431" s="16"/>
      <c r="O431" s="104"/>
      <c r="Q431" s="287"/>
      <c r="R431" s="287"/>
      <c r="S431" s="287"/>
      <c r="T431" s="287"/>
      <c r="U431" s="287"/>
    </row>
    <row r="432" spans="1:21" s="30" customFormat="1" x14ac:dyDescent="0.3">
      <c r="A432" s="347" t="str">
        <f t="shared" si="105"/>
        <v>Exclude</v>
      </c>
      <c r="D432" s="425" t="s">
        <v>1306</v>
      </c>
      <c r="E432" s="47" t="s">
        <v>117</v>
      </c>
      <c r="F432" s="32"/>
      <c r="G432" s="21"/>
      <c r="H432" s="19" t="s">
        <v>20</v>
      </c>
      <c r="I432" s="13"/>
      <c r="J432" s="16">
        <f t="shared" ref="J432:J434" si="107">G432*I432</f>
        <v>0</v>
      </c>
      <c r="K432" s="304"/>
      <c r="L432" s="298"/>
      <c r="M432" s="298">
        <f t="shared" si="106"/>
        <v>0</v>
      </c>
      <c r="N432" s="16"/>
      <c r="O432" s="104"/>
      <c r="Q432" s="287"/>
      <c r="R432" s="287"/>
      <c r="S432" s="287"/>
      <c r="T432" s="287"/>
      <c r="U432" s="287"/>
    </row>
    <row r="433" spans="1:21" s="30" customFormat="1" x14ac:dyDescent="0.3">
      <c r="A433" s="347" t="str">
        <f t="shared" si="105"/>
        <v>Exclude</v>
      </c>
      <c r="D433" s="425" t="s">
        <v>1306</v>
      </c>
      <c r="E433" s="47" t="s">
        <v>80</v>
      </c>
      <c r="F433" s="32"/>
      <c r="G433" s="21"/>
      <c r="H433" s="19" t="s">
        <v>20</v>
      </c>
      <c r="I433" s="13"/>
      <c r="J433" s="16">
        <f t="shared" si="107"/>
        <v>0</v>
      </c>
      <c r="K433" s="304"/>
      <c r="L433" s="298"/>
      <c r="M433" s="298">
        <f t="shared" si="106"/>
        <v>0</v>
      </c>
      <c r="N433" s="16"/>
      <c r="O433" s="104"/>
      <c r="Q433" s="287"/>
      <c r="R433" s="287"/>
      <c r="S433" s="287"/>
      <c r="T433" s="287"/>
      <c r="U433" s="287"/>
    </row>
    <row r="434" spans="1:21" x14ac:dyDescent="0.3">
      <c r="A434" s="347" t="str">
        <f t="shared" si="105"/>
        <v>Exclude</v>
      </c>
      <c r="D434" s="425" t="s">
        <v>1306</v>
      </c>
      <c r="E434" s="47" t="s">
        <v>318</v>
      </c>
      <c r="F434" s="32"/>
      <c r="G434" s="21"/>
      <c r="H434" s="19" t="s">
        <v>20</v>
      </c>
      <c r="I434" s="13"/>
      <c r="J434" s="16">
        <f t="shared" si="107"/>
        <v>0</v>
      </c>
      <c r="K434" s="304"/>
      <c r="L434" s="298"/>
      <c r="M434" s="298">
        <f t="shared" si="106"/>
        <v>0</v>
      </c>
      <c r="N434" s="16"/>
      <c r="O434" s="104"/>
      <c r="Q434" s="281"/>
      <c r="R434" s="281"/>
      <c r="S434" s="281"/>
      <c r="T434" s="281"/>
      <c r="U434" s="281"/>
    </row>
    <row r="435" spans="1:21" x14ac:dyDescent="0.3">
      <c r="A435" s="347" t="str">
        <f t="shared" si="105"/>
        <v>Exclude</v>
      </c>
      <c r="D435" s="425" t="s">
        <v>1306</v>
      </c>
      <c r="E435" s="47" t="s">
        <v>319</v>
      </c>
      <c r="F435" s="32"/>
      <c r="G435" s="21"/>
      <c r="H435" s="19" t="s">
        <v>20</v>
      </c>
      <c r="I435" s="13"/>
      <c r="J435" s="16">
        <f t="shared" ref="J435:J446" si="108">G435*I435</f>
        <v>0</v>
      </c>
      <c r="K435" s="304"/>
      <c r="L435" s="298"/>
      <c r="M435" s="298">
        <f t="shared" si="106"/>
        <v>0</v>
      </c>
      <c r="N435" s="16"/>
      <c r="O435" s="104"/>
      <c r="Q435" s="281"/>
      <c r="R435" s="281"/>
      <c r="S435" s="281"/>
      <c r="T435" s="281"/>
      <c r="U435" s="281"/>
    </row>
    <row r="436" spans="1:21" x14ac:dyDescent="0.3">
      <c r="A436" s="347" t="str">
        <f t="shared" si="105"/>
        <v>Exclude</v>
      </c>
      <c r="D436" s="425" t="s">
        <v>1306</v>
      </c>
      <c r="E436" s="47" t="s">
        <v>320</v>
      </c>
      <c r="F436" s="32"/>
      <c r="G436" s="21"/>
      <c r="H436" s="19" t="s">
        <v>20</v>
      </c>
      <c r="I436" s="13"/>
      <c r="J436" s="16">
        <f t="shared" si="108"/>
        <v>0</v>
      </c>
      <c r="K436" s="304"/>
      <c r="L436" s="298"/>
      <c r="M436" s="298">
        <f t="shared" si="106"/>
        <v>0</v>
      </c>
      <c r="N436" s="16"/>
      <c r="O436" s="104"/>
      <c r="Q436" s="281"/>
      <c r="R436" s="281"/>
      <c r="S436" s="281"/>
      <c r="T436" s="281"/>
      <c r="U436" s="281"/>
    </row>
    <row r="437" spans="1:21" x14ac:dyDescent="0.3">
      <c r="A437" s="347" t="str">
        <f t="shared" si="105"/>
        <v>Exclude</v>
      </c>
      <c r="D437" s="425" t="s">
        <v>1306</v>
      </c>
      <c r="E437" s="47" t="s">
        <v>321</v>
      </c>
      <c r="F437" s="32"/>
      <c r="G437" s="21"/>
      <c r="H437" s="19" t="s">
        <v>20</v>
      </c>
      <c r="I437" s="13"/>
      <c r="J437" s="16">
        <f t="shared" si="108"/>
        <v>0</v>
      </c>
      <c r="K437" s="304"/>
      <c r="L437" s="298"/>
      <c r="M437" s="298">
        <f t="shared" si="106"/>
        <v>0</v>
      </c>
      <c r="N437" s="16"/>
      <c r="O437" s="104"/>
      <c r="Q437" s="281"/>
      <c r="R437" s="281"/>
      <c r="S437" s="281"/>
      <c r="T437" s="281"/>
      <c r="U437" s="281"/>
    </row>
    <row r="438" spans="1:21" x14ac:dyDescent="0.3">
      <c r="A438" s="347" t="str">
        <f t="shared" si="105"/>
        <v>Exclude</v>
      </c>
      <c r="D438" s="425" t="s">
        <v>1306</v>
      </c>
      <c r="E438" s="47" t="s">
        <v>181</v>
      </c>
      <c r="F438" s="32"/>
      <c r="G438" s="21"/>
      <c r="H438" s="19" t="s">
        <v>20</v>
      </c>
      <c r="I438" s="13"/>
      <c r="J438" s="16">
        <f t="shared" si="108"/>
        <v>0</v>
      </c>
      <c r="K438" s="304"/>
      <c r="L438" s="298"/>
      <c r="M438" s="298">
        <f t="shared" si="106"/>
        <v>0</v>
      </c>
      <c r="N438" s="16"/>
      <c r="O438" s="104"/>
      <c r="Q438" s="281"/>
      <c r="R438" s="281"/>
      <c r="S438" s="281"/>
      <c r="T438" s="281"/>
      <c r="U438" s="281"/>
    </row>
    <row r="439" spans="1:21" x14ac:dyDescent="0.3">
      <c r="A439" s="347" t="str">
        <f t="shared" si="105"/>
        <v>Exclude</v>
      </c>
      <c r="D439" s="425" t="s">
        <v>1306</v>
      </c>
      <c r="E439" s="47" t="s">
        <v>182</v>
      </c>
      <c r="F439" s="32"/>
      <c r="G439" s="21"/>
      <c r="H439" s="19" t="s">
        <v>20</v>
      </c>
      <c r="I439" s="13"/>
      <c r="J439" s="16">
        <f t="shared" si="108"/>
        <v>0</v>
      </c>
      <c r="K439" s="304"/>
      <c r="L439" s="298"/>
      <c r="M439" s="298">
        <f t="shared" si="106"/>
        <v>0</v>
      </c>
      <c r="N439" s="16"/>
      <c r="O439" s="104"/>
      <c r="Q439" s="281"/>
      <c r="R439" s="281"/>
      <c r="S439" s="281"/>
      <c r="T439" s="281"/>
      <c r="U439" s="281"/>
    </row>
    <row r="440" spans="1:21" x14ac:dyDescent="0.3">
      <c r="A440" s="347" t="str">
        <f t="shared" si="105"/>
        <v>Exclude</v>
      </c>
      <c r="D440" s="425" t="s">
        <v>1306</v>
      </c>
      <c r="E440" s="47" t="s">
        <v>1222</v>
      </c>
      <c r="F440" s="32"/>
      <c r="G440" s="21"/>
      <c r="H440" s="19" t="s">
        <v>2</v>
      </c>
      <c r="I440" s="13">
        <v>3.5</v>
      </c>
      <c r="J440" s="16">
        <f t="shared" si="108"/>
        <v>0</v>
      </c>
      <c r="K440" s="304"/>
      <c r="L440" s="298"/>
      <c r="M440" s="298">
        <f t="shared" si="106"/>
        <v>0</v>
      </c>
      <c r="N440" s="16"/>
      <c r="O440" s="104"/>
      <c r="Q440" s="281"/>
      <c r="R440" s="281"/>
      <c r="S440" s="281"/>
      <c r="T440" s="281"/>
      <c r="U440" s="281"/>
    </row>
    <row r="441" spans="1:21" x14ac:dyDescent="0.3">
      <c r="A441" s="347" t="str">
        <f t="shared" si="105"/>
        <v>Exclude</v>
      </c>
      <c r="D441" s="425" t="s">
        <v>1306</v>
      </c>
      <c r="E441" s="47" t="s">
        <v>454</v>
      </c>
      <c r="F441" s="32"/>
      <c r="G441" s="21"/>
      <c r="H441" s="19" t="s">
        <v>20</v>
      </c>
      <c r="I441" s="13"/>
      <c r="J441" s="16">
        <f t="shared" si="108"/>
        <v>0</v>
      </c>
      <c r="K441" s="304"/>
      <c r="L441" s="298"/>
      <c r="M441" s="298">
        <f t="shared" si="106"/>
        <v>0</v>
      </c>
      <c r="N441" s="16"/>
      <c r="O441" s="104"/>
      <c r="Q441" s="281"/>
      <c r="R441" s="281"/>
      <c r="S441" s="281"/>
      <c r="T441" s="281"/>
      <c r="U441" s="281"/>
    </row>
    <row r="442" spans="1:21" x14ac:dyDescent="0.3">
      <c r="A442" s="347" t="str">
        <f t="shared" si="105"/>
        <v>Exclude</v>
      </c>
      <c r="D442" s="425" t="s">
        <v>1306</v>
      </c>
      <c r="E442" s="47" t="s">
        <v>455</v>
      </c>
      <c r="F442" s="32"/>
      <c r="G442" s="21"/>
      <c r="H442" s="19" t="s">
        <v>20</v>
      </c>
      <c r="I442" s="13"/>
      <c r="J442" s="16">
        <f t="shared" si="108"/>
        <v>0</v>
      </c>
      <c r="K442" s="304"/>
      <c r="L442" s="298"/>
      <c r="M442" s="298">
        <f t="shared" si="106"/>
        <v>0</v>
      </c>
      <c r="N442" s="16"/>
      <c r="O442" s="104"/>
      <c r="Q442" s="281"/>
      <c r="R442" s="281"/>
      <c r="S442" s="281"/>
      <c r="T442" s="281"/>
      <c r="U442" s="281"/>
    </row>
    <row r="443" spans="1:21" x14ac:dyDescent="0.3">
      <c r="A443" s="347" t="str">
        <f t="shared" si="105"/>
        <v>Exclude</v>
      </c>
      <c r="D443" s="425" t="s">
        <v>1306</v>
      </c>
      <c r="E443" s="44" t="s">
        <v>1251</v>
      </c>
      <c r="F443" s="32"/>
      <c r="G443" s="21"/>
      <c r="H443" s="19" t="s">
        <v>1</v>
      </c>
      <c r="I443" s="13">
        <v>12</v>
      </c>
      <c r="J443" s="16">
        <f t="shared" ref="J443" si="109">G443*I443</f>
        <v>0</v>
      </c>
      <c r="K443" s="304"/>
      <c r="L443" s="298"/>
      <c r="M443" s="298">
        <f t="shared" ref="M443" si="110">IF(K443="x","Included in Sub Bid",J443)</f>
        <v>0</v>
      </c>
      <c r="N443" s="16"/>
      <c r="O443" s="104"/>
      <c r="Q443" s="281"/>
      <c r="R443" s="281"/>
      <c r="S443" s="281"/>
      <c r="T443" s="281"/>
      <c r="U443" s="281"/>
    </row>
    <row r="444" spans="1:21" x14ac:dyDescent="0.3">
      <c r="A444" s="347" t="str">
        <f t="shared" si="105"/>
        <v>Exclude</v>
      </c>
      <c r="D444" s="425" t="s">
        <v>1306</v>
      </c>
      <c r="E444" s="44" t="s">
        <v>322</v>
      </c>
      <c r="F444" s="32"/>
      <c r="G444" s="21"/>
      <c r="H444" s="19" t="s">
        <v>20</v>
      </c>
      <c r="I444" s="13"/>
      <c r="J444" s="16">
        <f t="shared" si="108"/>
        <v>0</v>
      </c>
      <c r="K444" s="304"/>
      <c r="L444" s="298"/>
      <c r="M444" s="298">
        <f t="shared" si="106"/>
        <v>0</v>
      </c>
      <c r="N444" s="16"/>
      <c r="O444" s="104"/>
      <c r="Q444" s="281"/>
      <c r="R444" s="281"/>
      <c r="S444" s="281"/>
      <c r="T444" s="281"/>
      <c r="U444" s="281"/>
    </row>
    <row r="445" spans="1:21" x14ac:dyDescent="0.3">
      <c r="A445" s="347" t="str">
        <f t="shared" si="105"/>
        <v>Exclude</v>
      </c>
      <c r="D445" s="425" t="s">
        <v>1306</v>
      </c>
      <c r="E445" s="47" t="s">
        <v>323</v>
      </c>
      <c r="F445" s="32"/>
      <c r="G445" s="21"/>
      <c r="H445" s="19" t="s">
        <v>20</v>
      </c>
      <c r="I445" s="13"/>
      <c r="J445" s="16">
        <f t="shared" si="108"/>
        <v>0</v>
      </c>
      <c r="K445" s="304"/>
      <c r="L445" s="298"/>
      <c r="M445" s="298">
        <f t="shared" si="106"/>
        <v>0</v>
      </c>
      <c r="N445" s="16"/>
      <c r="O445" s="104"/>
      <c r="Q445" s="281"/>
      <c r="R445" s="281"/>
      <c r="S445" s="281"/>
      <c r="T445" s="281"/>
      <c r="U445" s="281"/>
    </row>
    <row r="446" spans="1:21" x14ac:dyDescent="0.3">
      <c r="A446" s="347" t="str">
        <f t="shared" si="105"/>
        <v>Exclude</v>
      </c>
      <c r="D446" s="425" t="s">
        <v>1306</v>
      </c>
      <c r="E446" s="47" t="s">
        <v>324</v>
      </c>
      <c r="F446" s="32"/>
      <c r="G446" s="21"/>
      <c r="H446" s="19" t="s">
        <v>20</v>
      </c>
      <c r="I446" s="13"/>
      <c r="J446" s="16">
        <f t="shared" si="108"/>
        <v>0</v>
      </c>
      <c r="K446" s="304"/>
      <c r="L446" s="298"/>
      <c r="M446" s="298">
        <f t="shared" si="106"/>
        <v>0</v>
      </c>
      <c r="N446" s="16"/>
      <c r="O446" s="104"/>
      <c r="Q446" s="281"/>
      <c r="R446" s="281"/>
      <c r="S446" s="281"/>
      <c r="T446" s="281"/>
      <c r="U446" s="281"/>
    </row>
    <row r="447" spans="1:21" x14ac:dyDescent="0.3">
      <c r="A447" s="347" t="str">
        <f t="shared" si="105"/>
        <v>Exclude</v>
      </c>
      <c r="D447" s="425" t="s">
        <v>1306</v>
      </c>
      <c r="E447" s="47" t="s">
        <v>478</v>
      </c>
      <c r="F447" s="32"/>
      <c r="G447" s="21"/>
      <c r="H447" s="19" t="s">
        <v>20</v>
      </c>
      <c r="I447" s="13"/>
      <c r="J447" s="16">
        <f t="shared" ref="J447:J450" si="111">G447*I447</f>
        <v>0</v>
      </c>
      <c r="K447" s="304"/>
      <c r="L447" s="298"/>
      <c r="M447" s="298">
        <f t="shared" si="106"/>
        <v>0</v>
      </c>
      <c r="N447" s="16"/>
      <c r="O447" s="104"/>
      <c r="Q447" s="281"/>
      <c r="R447" s="281"/>
      <c r="S447" s="281"/>
      <c r="T447" s="281"/>
      <c r="U447" s="281"/>
    </row>
    <row r="448" spans="1:21" x14ac:dyDescent="0.3">
      <c r="A448" s="347" t="str">
        <f t="shared" si="105"/>
        <v>Exclude</v>
      </c>
      <c r="D448" s="425" t="s">
        <v>1306</v>
      </c>
      <c r="E448" s="47" t="s">
        <v>325</v>
      </c>
      <c r="F448" s="32"/>
      <c r="G448" s="21"/>
      <c r="H448" s="19" t="s">
        <v>20</v>
      </c>
      <c r="I448" s="13"/>
      <c r="J448" s="16">
        <f t="shared" si="111"/>
        <v>0</v>
      </c>
      <c r="K448" s="304"/>
      <c r="L448" s="298"/>
      <c r="M448" s="298">
        <f t="shared" si="106"/>
        <v>0</v>
      </c>
      <c r="N448" s="16"/>
      <c r="O448" s="104"/>
      <c r="Q448" s="281"/>
      <c r="R448" s="281"/>
      <c r="S448" s="281"/>
      <c r="T448" s="281"/>
      <c r="U448" s="281"/>
    </row>
    <row r="449" spans="1:21" x14ac:dyDescent="0.3">
      <c r="A449" s="347" t="str">
        <f t="shared" si="105"/>
        <v>Exclude</v>
      </c>
      <c r="D449" s="425" t="s">
        <v>1306</v>
      </c>
      <c r="E449" s="44" t="s">
        <v>1223</v>
      </c>
      <c r="F449" s="32">
        <v>10</v>
      </c>
      <c r="G449" s="21"/>
      <c r="H449" s="19" t="s">
        <v>20</v>
      </c>
      <c r="I449" s="13"/>
      <c r="J449" s="16">
        <f t="shared" si="111"/>
        <v>0</v>
      </c>
      <c r="K449" s="304"/>
      <c r="L449" s="298"/>
      <c r="M449" s="298">
        <f t="shared" ref="M449:M450" si="112">IF(K449="x","Included in Sub Bid",J449)</f>
        <v>0</v>
      </c>
      <c r="N449" s="16"/>
      <c r="O449" s="104"/>
      <c r="Q449" s="281"/>
      <c r="R449" s="281"/>
      <c r="S449" s="281"/>
      <c r="T449" s="281"/>
      <c r="U449" s="281"/>
    </row>
    <row r="450" spans="1:21" x14ac:dyDescent="0.3">
      <c r="A450" s="347" t="str">
        <f t="shared" si="105"/>
        <v>Exclude</v>
      </c>
      <c r="D450" s="425" t="s">
        <v>1306</v>
      </c>
      <c r="E450" s="47" t="s">
        <v>1222</v>
      </c>
      <c r="F450" s="32"/>
      <c r="G450" s="21"/>
      <c r="H450" s="19" t="s">
        <v>2</v>
      </c>
      <c r="I450" s="13">
        <v>3.5</v>
      </c>
      <c r="J450" s="16">
        <f t="shared" si="111"/>
        <v>0</v>
      </c>
      <c r="K450" s="304"/>
      <c r="L450" s="298"/>
      <c r="M450" s="298">
        <f t="shared" si="112"/>
        <v>0</v>
      </c>
      <c r="N450" s="16"/>
      <c r="O450" s="104"/>
      <c r="Q450" s="281"/>
      <c r="R450" s="281"/>
      <c r="S450" s="281"/>
      <c r="T450" s="281"/>
      <c r="U450" s="281"/>
    </row>
    <row r="451" spans="1:21" x14ac:dyDescent="0.3">
      <c r="A451" s="347" t="str">
        <f t="shared" si="105"/>
        <v>Exclude</v>
      </c>
      <c r="D451" s="427" t="s">
        <v>1306</v>
      </c>
      <c r="E451" s="199" t="s">
        <v>943</v>
      </c>
      <c r="F451" s="200"/>
      <c r="G451" s="201"/>
      <c r="H451" s="202" t="s">
        <v>0</v>
      </c>
      <c r="I451" s="203"/>
      <c r="J451" s="203"/>
      <c r="K451" s="304"/>
      <c r="L451" s="302"/>
      <c r="M451" s="302">
        <f>IF(K451="x","Included in Sub Bid",G451*I451)</f>
        <v>0</v>
      </c>
      <c r="N451" s="16"/>
      <c r="O451" s="104"/>
      <c r="Q451" s="281"/>
      <c r="R451" s="281"/>
      <c r="S451" s="281"/>
      <c r="T451" s="281"/>
      <c r="U451" s="281"/>
    </row>
    <row r="452" spans="1:21" x14ac:dyDescent="0.3">
      <c r="A452" s="347" t="str">
        <f t="shared" si="105"/>
        <v>Exclude</v>
      </c>
      <c r="D452" s="427" t="s">
        <v>1306</v>
      </c>
      <c r="E452" s="199" t="s">
        <v>944</v>
      </c>
      <c r="F452" s="200"/>
      <c r="G452" s="201"/>
      <c r="H452" s="202" t="s">
        <v>0</v>
      </c>
      <c r="I452" s="203"/>
      <c r="J452" s="203"/>
      <c r="K452" s="304"/>
      <c r="L452" s="302"/>
      <c r="M452" s="302">
        <f>IF(K452="x","Included in Sub Bid",G452*I452)</f>
        <v>0</v>
      </c>
      <c r="N452" s="16"/>
      <c r="O452" s="104"/>
      <c r="Q452" s="281"/>
      <c r="R452" s="281"/>
      <c r="S452" s="281"/>
      <c r="T452" s="281"/>
      <c r="U452" s="281"/>
    </row>
    <row r="453" spans="1:21" x14ac:dyDescent="0.3">
      <c r="A453" s="347" t="str">
        <f t="shared" si="105"/>
        <v>Exclude</v>
      </c>
      <c r="D453" s="425"/>
      <c r="E453" s="39"/>
      <c r="F453" s="10"/>
      <c r="G453" s="21"/>
      <c r="H453" s="12"/>
      <c r="I453" s="13"/>
      <c r="J453" s="16"/>
      <c r="K453" s="304"/>
      <c r="L453" s="298"/>
      <c r="M453" s="298"/>
      <c r="N453" s="16"/>
      <c r="O453" s="114"/>
      <c r="Q453" s="281"/>
      <c r="R453" s="281"/>
      <c r="S453" s="281"/>
      <c r="T453" s="281"/>
      <c r="U453" s="281"/>
    </row>
    <row r="454" spans="1:21" x14ac:dyDescent="0.3">
      <c r="A454" s="347" t="str">
        <f t="shared" si="105"/>
        <v>Exclude</v>
      </c>
      <c r="D454" s="425"/>
      <c r="E454" s="39"/>
      <c r="F454" s="10"/>
      <c r="G454" s="21"/>
      <c r="H454" s="12"/>
      <c r="I454" s="13"/>
      <c r="J454" s="16"/>
      <c r="K454" s="301"/>
      <c r="L454" s="298"/>
      <c r="M454" s="298"/>
      <c r="N454" s="16"/>
      <c r="O454" s="114"/>
      <c r="Q454" s="281"/>
      <c r="R454" s="281"/>
      <c r="S454" s="281"/>
      <c r="T454" s="281"/>
      <c r="U454" s="281"/>
    </row>
    <row r="455" spans="1:21" ht="15.5" x14ac:dyDescent="0.3">
      <c r="A455" s="347" t="str">
        <f>IF(J455=0,"Exclude","x")</f>
        <v>x</v>
      </c>
      <c r="D455" s="424" t="s">
        <v>817</v>
      </c>
      <c r="E455" s="69" t="s">
        <v>622</v>
      </c>
      <c r="F455" s="56"/>
      <c r="G455" s="57"/>
      <c r="H455" s="58"/>
      <c r="I455" s="59"/>
      <c r="J455" s="60">
        <f>SUBTOTAL(9,J456:J477)</f>
        <v>4500</v>
      </c>
      <c r="K455" s="59">
        <f>IFERROR(J455/$G$6,0)</f>
        <v>0</v>
      </c>
      <c r="L455" s="309"/>
      <c r="M455" s="60"/>
      <c r="N455" s="59">
        <f>SUM(M456:M477)</f>
        <v>4500</v>
      </c>
      <c r="O455" s="435">
        <f>IFERROR(N455/$G$6,0)</f>
        <v>0</v>
      </c>
      <c r="Q455" s="281"/>
      <c r="R455" s="281"/>
      <c r="S455" s="281"/>
      <c r="T455" s="281"/>
      <c r="U455" s="281"/>
    </row>
    <row r="456" spans="1:21" x14ac:dyDescent="0.3">
      <c r="A456" s="347" t="str">
        <f t="shared" ref="A456:A477" si="113">A455</f>
        <v>x</v>
      </c>
      <c r="D456" s="426" t="s">
        <v>1307</v>
      </c>
      <c r="E456" s="39" t="s">
        <v>1203</v>
      </c>
      <c r="F456" s="24"/>
      <c r="G456" s="292"/>
      <c r="H456" s="25"/>
      <c r="I456" s="293"/>
      <c r="J456" s="293"/>
      <c r="K456" s="301"/>
      <c r="L456" s="300">
        <v>0</v>
      </c>
      <c r="M456" s="301">
        <f>L456</f>
        <v>0</v>
      </c>
      <c r="N456" s="293"/>
      <c r="O456" s="294"/>
      <c r="Q456" s="282"/>
      <c r="R456" s="281"/>
      <c r="S456" s="283"/>
      <c r="T456" s="283"/>
      <c r="U456" s="283"/>
    </row>
    <row r="457" spans="1:21" ht="12.75" customHeight="1" x14ac:dyDescent="0.3">
      <c r="A457" s="347" t="str">
        <f t="shared" si="113"/>
        <v>x</v>
      </c>
      <c r="D457" s="425" t="s">
        <v>1307</v>
      </c>
      <c r="E457" s="36" t="s">
        <v>164</v>
      </c>
      <c r="F457" s="10"/>
      <c r="G457" s="21">
        <f>'Project Info Input'!C35</f>
        <v>0</v>
      </c>
      <c r="H457" s="12" t="s">
        <v>3</v>
      </c>
      <c r="I457" s="13">
        <v>12</v>
      </c>
      <c r="J457" s="16">
        <f t="shared" ref="J457:J462" si="114">G457*I457</f>
        <v>0</v>
      </c>
      <c r="K457" s="304"/>
      <c r="L457" s="298"/>
      <c r="M457" s="298">
        <f t="shared" ref="M457:M473" si="115">IF(K457="x","Included in Sub Bid",J457)</f>
        <v>0</v>
      </c>
      <c r="N457" s="16"/>
      <c r="O457" s="104"/>
      <c r="Q457" s="281"/>
      <c r="R457" s="281"/>
      <c r="S457" s="281"/>
      <c r="T457" s="281"/>
      <c r="U457" s="281"/>
    </row>
    <row r="458" spans="1:21" ht="12.75" customHeight="1" x14ac:dyDescent="0.3">
      <c r="A458" s="347" t="str">
        <f t="shared" si="113"/>
        <v>x</v>
      </c>
      <c r="D458" s="425" t="s">
        <v>1307</v>
      </c>
      <c r="E458" s="44" t="s">
        <v>15</v>
      </c>
      <c r="F458" s="10"/>
      <c r="G458" s="21">
        <f>'Project Info Input'!C49/100</f>
        <v>0</v>
      </c>
      <c r="H458" s="19" t="s">
        <v>2</v>
      </c>
      <c r="I458" s="13">
        <v>5000</v>
      </c>
      <c r="J458" s="16">
        <f>G458*I458</f>
        <v>0</v>
      </c>
      <c r="K458" s="304"/>
      <c r="L458" s="298"/>
      <c r="M458" s="298">
        <f t="shared" si="115"/>
        <v>0</v>
      </c>
      <c r="N458" s="16"/>
      <c r="O458" s="104"/>
      <c r="Q458" s="281"/>
      <c r="R458" s="281"/>
      <c r="S458" s="281"/>
      <c r="T458" s="281"/>
      <c r="U458" s="281"/>
    </row>
    <row r="459" spans="1:21" ht="12.75" customHeight="1" x14ac:dyDescent="0.3">
      <c r="A459" s="347" t="str">
        <f t="shared" si="113"/>
        <v>x</v>
      </c>
      <c r="D459" s="425" t="s">
        <v>1307</v>
      </c>
      <c r="E459" s="44" t="s">
        <v>1119</v>
      </c>
      <c r="F459" s="10"/>
      <c r="G459" s="21">
        <f>'Project Info Input'!C72</f>
        <v>0</v>
      </c>
      <c r="H459" s="19" t="s">
        <v>2</v>
      </c>
      <c r="I459" s="13">
        <v>2500</v>
      </c>
      <c r="J459" s="16">
        <f>G459*I459</f>
        <v>0</v>
      </c>
      <c r="K459" s="304"/>
      <c r="L459" s="298"/>
      <c r="M459" s="298">
        <f t="shared" si="115"/>
        <v>0</v>
      </c>
      <c r="N459" s="16"/>
      <c r="O459" s="104"/>
      <c r="Q459" s="281"/>
      <c r="R459" s="281"/>
      <c r="S459" s="281"/>
      <c r="T459" s="281"/>
      <c r="U459" s="281"/>
    </row>
    <row r="460" spans="1:21" ht="12.75" customHeight="1" x14ac:dyDescent="0.3">
      <c r="A460" s="347" t="str">
        <f t="shared" si="113"/>
        <v>x</v>
      </c>
      <c r="D460" s="425" t="s">
        <v>1307</v>
      </c>
      <c r="E460" s="44" t="s">
        <v>1118</v>
      </c>
      <c r="F460" s="10"/>
      <c r="G460" s="21">
        <f>'Project Info Input'!C73</f>
        <v>0</v>
      </c>
      <c r="H460" s="19" t="s">
        <v>2</v>
      </c>
      <c r="I460" s="13">
        <v>5000</v>
      </c>
      <c r="J460" s="16">
        <f>G460*I460</f>
        <v>0</v>
      </c>
      <c r="K460" s="304"/>
      <c r="L460" s="298"/>
      <c r="M460" s="298">
        <f t="shared" si="115"/>
        <v>0</v>
      </c>
      <c r="N460" s="16"/>
      <c r="O460" s="104"/>
      <c r="Q460" s="281"/>
      <c r="R460" s="281"/>
      <c r="S460" s="281"/>
      <c r="T460" s="281"/>
      <c r="U460" s="281"/>
    </row>
    <row r="461" spans="1:21" ht="12.75" customHeight="1" x14ac:dyDescent="0.3">
      <c r="A461" s="347" t="str">
        <f t="shared" si="113"/>
        <v>x</v>
      </c>
      <c r="D461" s="425" t="s">
        <v>1307</v>
      </c>
      <c r="E461" s="44" t="s">
        <v>82</v>
      </c>
      <c r="F461" s="10"/>
      <c r="G461" s="21"/>
      <c r="H461" s="19" t="s">
        <v>2</v>
      </c>
      <c r="I461" s="13"/>
      <c r="J461" s="16">
        <f t="shared" si="114"/>
        <v>0</v>
      </c>
      <c r="K461" s="304"/>
      <c r="L461" s="298"/>
      <c r="M461" s="298">
        <f t="shared" si="115"/>
        <v>0</v>
      </c>
      <c r="N461" s="16"/>
      <c r="O461" s="104"/>
      <c r="Q461" s="281"/>
      <c r="R461" s="281"/>
      <c r="S461" s="281"/>
      <c r="T461" s="281"/>
      <c r="U461" s="281"/>
    </row>
    <row r="462" spans="1:21" ht="12.75" customHeight="1" x14ac:dyDescent="0.3">
      <c r="A462" s="347" t="str">
        <f t="shared" si="113"/>
        <v>x</v>
      </c>
      <c r="D462" s="425" t="s">
        <v>1307</v>
      </c>
      <c r="E462" s="44" t="s">
        <v>81</v>
      </c>
      <c r="F462" s="10"/>
      <c r="G462" s="21">
        <f>G406</f>
        <v>0</v>
      </c>
      <c r="H462" s="19" t="s">
        <v>2</v>
      </c>
      <c r="I462" s="13">
        <v>150</v>
      </c>
      <c r="J462" s="16">
        <f t="shared" si="114"/>
        <v>0</v>
      </c>
      <c r="K462" s="304"/>
      <c r="L462" s="298"/>
      <c r="M462" s="298">
        <f t="shared" si="115"/>
        <v>0</v>
      </c>
      <c r="N462" s="16"/>
      <c r="O462" s="104"/>
      <c r="Q462" s="281"/>
      <c r="R462" s="281"/>
      <c r="S462" s="281"/>
      <c r="T462" s="281"/>
      <c r="U462" s="281"/>
    </row>
    <row r="463" spans="1:21" ht="12.75" customHeight="1" x14ac:dyDescent="0.3">
      <c r="A463" s="347" t="str">
        <f t="shared" si="113"/>
        <v>x</v>
      </c>
      <c r="D463" s="425" t="s">
        <v>1307</v>
      </c>
      <c r="E463" s="44" t="s">
        <v>390</v>
      </c>
      <c r="F463" s="10"/>
      <c r="G463" s="21">
        <f>SUM(G834:G836)</f>
        <v>0</v>
      </c>
      <c r="H463" s="12" t="s">
        <v>2</v>
      </c>
      <c r="I463" s="13">
        <v>450</v>
      </c>
      <c r="J463" s="16">
        <f>G463*I463</f>
        <v>0</v>
      </c>
      <c r="K463" s="304"/>
      <c r="L463" s="298"/>
      <c r="M463" s="298">
        <f t="shared" si="115"/>
        <v>0</v>
      </c>
      <c r="N463" s="16"/>
      <c r="O463" s="104"/>
      <c r="Q463" s="281"/>
      <c r="R463" s="281"/>
      <c r="S463" s="281"/>
      <c r="T463" s="281"/>
      <c r="U463" s="281"/>
    </row>
    <row r="464" spans="1:21" ht="12.75" customHeight="1" x14ac:dyDescent="0.3">
      <c r="A464" s="347" t="str">
        <f t="shared" si="113"/>
        <v>x</v>
      </c>
      <c r="D464" s="425" t="s">
        <v>1307</v>
      </c>
      <c r="E464" s="44" t="s">
        <v>391</v>
      </c>
      <c r="F464" s="10"/>
      <c r="G464" s="21">
        <f>SUM(G649:G652)-G368</f>
        <v>0</v>
      </c>
      <c r="H464" s="12" t="s">
        <v>2</v>
      </c>
      <c r="I464" s="13">
        <v>250</v>
      </c>
      <c r="J464" s="16">
        <f>G464*I464</f>
        <v>0</v>
      </c>
      <c r="K464" s="304"/>
      <c r="L464" s="298"/>
      <c r="M464" s="298">
        <f t="shared" si="115"/>
        <v>0</v>
      </c>
      <c r="N464" s="16"/>
      <c r="O464" s="104"/>
      <c r="Q464" s="281"/>
      <c r="R464" s="281"/>
      <c r="S464" s="281"/>
      <c r="T464" s="281"/>
      <c r="U464" s="281"/>
    </row>
    <row r="465" spans="1:21" ht="12.75" customHeight="1" x14ac:dyDescent="0.3">
      <c r="A465" s="347" t="str">
        <f t="shared" si="113"/>
        <v>x</v>
      </c>
      <c r="D465" s="425" t="s">
        <v>1307</v>
      </c>
      <c r="E465" s="44" t="s">
        <v>31</v>
      </c>
      <c r="F465" s="10" t="s">
        <v>581</v>
      </c>
      <c r="G465" s="21">
        <f>G211*60*2</f>
        <v>0</v>
      </c>
      <c r="H465" s="12" t="s">
        <v>3</v>
      </c>
      <c r="I465" s="13">
        <v>75</v>
      </c>
      <c r="J465" s="16">
        <f t="shared" ref="J465:J471" si="116">G465*I465</f>
        <v>0</v>
      </c>
      <c r="K465" s="304"/>
      <c r="L465" s="298"/>
      <c r="M465" s="298">
        <f t="shared" si="115"/>
        <v>0</v>
      </c>
      <c r="N465" s="16"/>
      <c r="O465" s="104"/>
      <c r="Q465" s="281"/>
      <c r="R465" s="281"/>
      <c r="S465" s="281"/>
      <c r="T465" s="281"/>
      <c r="U465" s="281"/>
    </row>
    <row r="466" spans="1:21" ht="12.75" customHeight="1" x14ac:dyDescent="0.3">
      <c r="A466" s="347" t="str">
        <f t="shared" si="113"/>
        <v>x</v>
      </c>
      <c r="D466" s="425" t="s">
        <v>1307</v>
      </c>
      <c r="E466" s="44" t="s">
        <v>270</v>
      </c>
      <c r="F466" s="10"/>
      <c r="G466" s="21"/>
      <c r="H466" s="19" t="s">
        <v>2</v>
      </c>
      <c r="I466" s="13"/>
      <c r="J466" s="16">
        <f t="shared" si="116"/>
        <v>0</v>
      </c>
      <c r="K466" s="304"/>
      <c r="L466" s="298"/>
      <c r="M466" s="298">
        <f t="shared" si="115"/>
        <v>0</v>
      </c>
      <c r="N466" s="16"/>
      <c r="O466" s="104"/>
      <c r="Q466" s="281"/>
      <c r="R466" s="281"/>
      <c r="S466" s="281"/>
      <c r="T466" s="281"/>
      <c r="U466" s="281"/>
    </row>
    <row r="467" spans="1:21" ht="12.75" customHeight="1" x14ac:dyDescent="0.3">
      <c r="A467" s="347" t="str">
        <f t="shared" si="113"/>
        <v>x</v>
      </c>
      <c r="D467" s="425" t="s">
        <v>1307</v>
      </c>
      <c r="E467" s="44" t="s">
        <v>114</v>
      </c>
      <c r="F467" s="10"/>
      <c r="G467" s="21"/>
      <c r="H467" s="19" t="s">
        <v>0</v>
      </c>
      <c r="I467" s="13"/>
      <c r="J467" s="16">
        <f t="shared" si="116"/>
        <v>0</v>
      </c>
      <c r="K467" s="304"/>
      <c r="L467" s="298"/>
      <c r="M467" s="298">
        <f t="shared" si="115"/>
        <v>0</v>
      </c>
      <c r="N467" s="16"/>
      <c r="O467" s="104"/>
      <c r="Q467" s="281"/>
      <c r="R467" s="281"/>
      <c r="S467" s="281"/>
      <c r="T467" s="281"/>
      <c r="U467" s="281"/>
    </row>
    <row r="468" spans="1:21" ht="12.75" customHeight="1" x14ac:dyDescent="0.3">
      <c r="A468" s="347" t="str">
        <f t="shared" si="113"/>
        <v>x</v>
      </c>
      <c r="D468" s="425" t="s">
        <v>1307</v>
      </c>
      <c r="E468" s="36" t="s">
        <v>316</v>
      </c>
      <c r="F468" s="10"/>
      <c r="G468" s="21">
        <f>IF('Project Info Input'!C68=0,0,1)</f>
        <v>0</v>
      </c>
      <c r="H468" s="19" t="s">
        <v>0</v>
      </c>
      <c r="I468" s="13">
        <f>(20*4)*10</f>
        <v>800</v>
      </c>
      <c r="J468" s="16">
        <f t="shared" si="116"/>
        <v>0</v>
      </c>
      <c r="K468" s="304"/>
      <c r="L468" s="298"/>
      <c r="M468" s="298">
        <f t="shared" si="115"/>
        <v>0</v>
      </c>
      <c r="N468" s="16"/>
      <c r="O468" s="104"/>
      <c r="Q468" s="281"/>
      <c r="R468" s="281"/>
      <c r="S468" s="281"/>
      <c r="T468" s="281"/>
      <c r="U468" s="281"/>
    </row>
    <row r="469" spans="1:21" ht="12.75" customHeight="1" x14ac:dyDescent="0.3">
      <c r="A469" s="347" t="str">
        <f t="shared" si="113"/>
        <v>x</v>
      </c>
      <c r="D469" s="425" t="s">
        <v>1307</v>
      </c>
      <c r="E469" s="36" t="s">
        <v>32</v>
      </c>
      <c r="F469" s="10"/>
      <c r="G469" s="21">
        <f>ROUNDUP('Project Info Input'!C32*(IF('Project Info Input'!C48="Cross Dock",2,1))/27,0)</f>
        <v>0</v>
      </c>
      <c r="H469" s="19" t="s">
        <v>2</v>
      </c>
      <c r="I469" s="13">
        <v>175</v>
      </c>
      <c r="J469" s="16">
        <f t="shared" si="116"/>
        <v>0</v>
      </c>
      <c r="K469" s="304"/>
      <c r="L469" s="298"/>
      <c r="M469" s="298">
        <f t="shared" si="115"/>
        <v>0</v>
      </c>
      <c r="N469" s="16"/>
      <c r="O469" s="104"/>
      <c r="Q469" s="281"/>
      <c r="R469" s="281"/>
      <c r="S469" s="281"/>
      <c r="T469" s="281"/>
      <c r="U469" s="281"/>
    </row>
    <row r="470" spans="1:21" ht="12.75" customHeight="1" x14ac:dyDescent="0.3">
      <c r="A470" s="347" t="str">
        <f t="shared" si="113"/>
        <v>x</v>
      </c>
      <c r="D470" s="425" t="s">
        <v>1307</v>
      </c>
      <c r="E470" s="44" t="s">
        <v>517</v>
      </c>
      <c r="F470" s="10"/>
      <c r="G470" s="21">
        <f>G992+G993</f>
        <v>0</v>
      </c>
      <c r="H470" s="19" t="s">
        <v>2</v>
      </c>
      <c r="I470" s="13">
        <v>450</v>
      </c>
      <c r="J470" s="16">
        <f t="shared" si="116"/>
        <v>0</v>
      </c>
      <c r="K470" s="304"/>
      <c r="L470" s="298"/>
      <c r="M470" s="298">
        <f t="shared" si="115"/>
        <v>0</v>
      </c>
      <c r="N470" s="16"/>
      <c r="O470" s="104"/>
      <c r="Q470" s="281"/>
      <c r="R470" s="281"/>
      <c r="S470" s="281"/>
      <c r="T470" s="281"/>
      <c r="U470" s="281"/>
    </row>
    <row r="471" spans="1:21" ht="12.75" customHeight="1" x14ac:dyDescent="0.3">
      <c r="A471" s="347" t="str">
        <f t="shared" si="113"/>
        <v>x</v>
      </c>
      <c r="D471" s="425" t="s">
        <v>1307</v>
      </c>
      <c r="E471" s="44" t="s">
        <v>516</v>
      </c>
      <c r="F471" s="10"/>
      <c r="G471" s="21">
        <f>G598</f>
        <v>0</v>
      </c>
      <c r="H471" s="19" t="s">
        <v>2</v>
      </c>
      <c r="I471" s="13"/>
      <c r="J471" s="16">
        <f t="shared" si="116"/>
        <v>0</v>
      </c>
      <c r="K471" s="304"/>
      <c r="L471" s="298"/>
      <c r="M471" s="298">
        <f t="shared" si="115"/>
        <v>0</v>
      </c>
      <c r="N471" s="16"/>
      <c r="O471" s="104"/>
      <c r="Q471" s="281"/>
      <c r="R471" s="281"/>
      <c r="S471" s="281"/>
      <c r="T471" s="281"/>
      <c r="U471" s="281"/>
    </row>
    <row r="472" spans="1:21" ht="12.75" customHeight="1" x14ac:dyDescent="0.3">
      <c r="A472" s="347" t="str">
        <f t="shared" si="113"/>
        <v>x</v>
      </c>
      <c r="D472" s="425" t="s">
        <v>1307</v>
      </c>
      <c r="E472" s="44" t="s">
        <v>269</v>
      </c>
      <c r="F472" s="10"/>
      <c r="G472" s="21"/>
      <c r="H472" s="19" t="s">
        <v>2</v>
      </c>
      <c r="I472" s="13"/>
      <c r="J472" s="16">
        <f>G472*I472</f>
        <v>0</v>
      </c>
      <c r="K472" s="304"/>
      <c r="L472" s="298"/>
      <c r="M472" s="298">
        <f t="shared" si="115"/>
        <v>0</v>
      </c>
      <c r="N472" s="16"/>
      <c r="O472" s="104"/>
      <c r="Q472" s="281"/>
      <c r="R472" s="281"/>
      <c r="S472" s="281"/>
      <c r="T472" s="281"/>
      <c r="U472" s="281"/>
    </row>
    <row r="473" spans="1:21" ht="12.75" customHeight="1" x14ac:dyDescent="0.3">
      <c r="A473" s="347" t="str">
        <f t="shared" si="113"/>
        <v>x</v>
      </c>
      <c r="D473" s="425" t="s">
        <v>1307</v>
      </c>
      <c r="E473" s="44" t="s">
        <v>585</v>
      </c>
      <c r="F473" s="10"/>
      <c r="G473" s="21">
        <v>1</v>
      </c>
      <c r="H473" s="19" t="s">
        <v>582</v>
      </c>
      <c r="I473" s="13">
        <v>4500</v>
      </c>
      <c r="J473" s="16">
        <f>I473*G473</f>
        <v>4500</v>
      </c>
      <c r="K473" s="304"/>
      <c r="L473" s="298"/>
      <c r="M473" s="298">
        <f t="shared" si="115"/>
        <v>4500</v>
      </c>
      <c r="N473" s="16"/>
      <c r="O473" s="104"/>
      <c r="Q473" s="281"/>
      <c r="R473" s="281"/>
      <c r="S473" s="281"/>
      <c r="T473" s="281"/>
      <c r="U473" s="281"/>
    </row>
    <row r="474" spans="1:21" x14ac:dyDescent="0.3">
      <c r="A474" s="347" t="str">
        <f t="shared" si="113"/>
        <v>x</v>
      </c>
      <c r="D474" s="427" t="s">
        <v>1307</v>
      </c>
      <c r="E474" s="199" t="s">
        <v>943</v>
      </c>
      <c r="F474" s="200"/>
      <c r="G474" s="201"/>
      <c r="H474" s="202" t="s">
        <v>0</v>
      </c>
      <c r="I474" s="203"/>
      <c r="J474" s="203"/>
      <c r="K474" s="304"/>
      <c r="L474" s="302"/>
      <c r="M474" s="302">
        <f>IF(K474="x","Included in Sub Bid",G474*I474)</f>
        <v>0</v>
      </c>
      <c r="N474" s="16"/>
      <c r="O474" s="104"/>
      <c r="Q474" s="281"/>
      <c r="R474" s="281"/>
      <c r="S474" s="281"/>
      <c r="T474" s="281"/>
      <c r="U474" s="281"/>
    </row>
    <row r="475" spans="1:21" x14ac:dyDescent="0.3">
      <c r="A475" s="347" t="str">
        <f t="shared" si="113"/>
        <v>x</v>
      </c>
      <c r="D475" s="427" t="s">
        <v>1307</v>
      </c>
      <c r="E475" s="199" t="s">
        <v>944</v>
      </c>
      <c r="F475" s="200"/>
      <c r="G475" s="201"/>
      <c r="H475" s="202" t="s">
        <v>0</v>
      </c>
      <c r="I475" s="203"/>
      <c r="J475" s="203"/>
      <c r="K475" s="304"/>
      <c r="L475" s="302"/>
      <c r="M475" s="302">
        <f>IF(K475="x","Included in Sub Bid",G475*I475)</f>
        <v>0</v>
      </c>
      <c r="N475" s="16"/>
      <c r="O475" s="104"/>
      <c r="Q475" s="281"/>
      <c r="R475" s="281"/>
      <c r="S475" s="281"/>
      <c r="T475" s="281"/>
      <c r="U475" s="281"/>
    </row>
    <row r="476" spans="1:21" ht="12" customHeight="1" x14ac:dyDescent="0.3">
      <c r="A476" s="347" t="str">
        <f t="shared" si="113"/>
        <v>x</v>
      </c>
      <c r="D476" s="425"/>
      <c r="E476" s="36"/>
      <c r="F476" s="10"/>
      <c r="G476" s="21"/>
      <c r="H476" s="12"/>
      <c r="I476" s="13"/>
      <c r="J476" s="16"/>
      <c r="K476" s="304"/>
      <c r="L476" s="298"/>
      <c r="M476" s="298"/>
      <c r="N476" s="16"/>
      <c r="O476" s="104"/>
      <c r="Q476" s="281"/>
      <c r="R476" s="281"/>
      <c r="S476" s="281"/>
      <c r="T476" s="281"/>
      <c r="U476" s="281"/>
    </row>
    <row r="477" spans="1:21" ht="12" customHeight="1" x14ac:dyDescent="0.3">
      <c r="A477" s="347" t="str">
        <f t="shared" si="113"/>
        <v>x</v>
      </c>
      <c r="D477" s="425"/>
      <c r="E477" s="39"/>
      <c r="F477" s="10"/>
      <c r="G477" s="21"/>
      <c r="H477" s="32"/>
      <c r="I477" s="13"/>
      <c r="J477" s="16"/>
      <c r="K477" s="301"/>
      <c r="L477" s="298"/>
      <c r="M477" s="298"/>
      <c r="N477" s="16"/>
      <c r="O477" s="114"/>
      <c r="Q477" s="281"/>
      <c r="R477" s="281"/>
      <c r="S477" s="281"/>
      <c r="T477" s="281"/>
      <c r="U477" s="281"/>
    </row>
    <row r="478" spans="1:21" ht="15.5" x14ac:dyDescent="0.3">
      <c r="A478" s="347" t="str">
        <f>IF(J478=0,"Exclude","x")</f>
        <v>Exclude</v>
      </c>
      <c r="D478" s="424" t="s">
        <v>817</v>
      </c>
      <c r="E478" s="69" t="s">
        <v>1120</v>
      </c>
      <c r="F478" s="56"/>
      <c r="G478" s="57"/>
      <c r="H478" s="58"/>
      <c r="I478" s="59"/>
      <c r="J478" s="60">
        <f>SUBTOTAL(9,J479:J494)</f>
        <v>0</v>
      </c>
      <c r="K478" s="59">
        <f>IFERROR(J478/$G$6,0)</f>
        <v>0</v>
      </c>
      <c r="L478" s="309"/>
      <c r="M478" s="60"/>
      <c r="N478" s="59">
        <f>SUM(M479:M494)</f>
        <v>0</v>
      </c>
      <c r="O478" s="435">
        <f>IFERROR(N478/$G$6,0)</f>
        <v>0</v>
      </c>
      <c r="Q478" s="281"/>
      <c r="R478" s="281"/>
      <c r="S478" s="281"/>
      <c r="T478" s="281"/>
      <c r="U478" s="281"/>
    </row>
    <row r="479" spans="1:21" x14ac:dyDescent="0.3">
      <c r="A479" s="347" t="str">
        <f t="shared" ref="A479:A494" si="117">A478</f>
        <v>Exclude</v>
      </c>
      <c r="D479" s="426" t="s">
        <v>1308</v>
      </c>
      <c r="E479" s="39" t="s">
        <v>1203</v>
      </c>
      <c r="F479" s="24"/>
      <c r="G479" s="292"/>
      <c r="H479" s="25"/>
      <c r="I479" s="293"/>
      <c r="J479" s="293"/>
      <c r="K479" s="301"/>
      <c r="L479" s="300">
        <v>0</v>
      </c>
      <c r="M479" s="301">
        <f>L479</f>
        <v>0</v>
      </c>
      <c r="N479" s="293"/>
      <c r="O479" s="294"/>
      <c r="Q479" s="282"/>
      <c r="R479" s="281"/>
      <c r="S479" s="283"/>
      <c r="T479" s="283"/>
      <c r="U479" s="283"/>
    </row>
    <row r="480" spans="1:21" ht="12.75" customHeight="1" x14ac:dyDescent="0.3">
      <c r="A480" s="347" t="str">
        <f t="shared" si="117"/>
        <v>Exclude</v>
      </c>
      <c r="D480" s="425" t="s">
        <v>1308</v>
      </c>
      <c r="E480" s="44" t="s">
        <v>84</v>
      </c>
      <c r="F480" s="262">
        <f>'Project Info Input'!C76</f>
        <v>2.7</v>
      </c>
      <c r="G480" s="21">
        <f>G6*F480/2000</f>
        <v>0</v>
      </c>
      <c r="H480" s="12" t="s">
        <v>20</v>
      </c>
      <c r="I480" s="13">
        <v>1350</v>
      </c>
      <c r="J480" s="16">
        <f>G480*I480</f>
        <v>0</v>
      </c>
      <c r="K480" s="304"/>
      <c r="L480" s="298"/>
      <c r="M480" s="298">
        <f t="shared" ref="M480:M484" si="118">IF(K480="x","Included in Sub Bid",J480)</f>
        <v>0</v>
      </c>
      <c r="N480" s="16"/>
      <c r="O480" s="104"/>
      <c r="Q480" s="283"/>
      <c r="R480" s="281"/>
      <c r="S480" s="281"/>
      <c r="T480" s="281"/>
      <c r="U480" s="281"/>
    </row>
    <row r="481" spans="1:21" x14ac:dyDescent="0.3">
      <c r="A481" s="347" t="str">
        <f>A480</f>
        <v>Exclude</v>
      </c>
      <c r="D481" s="425" t="s">
        <v>1308</v>
      </c>
      <c r="E481" s="44" t="s">
        <v>518</v>
      </c>
      <c r="F481" s="10"/>
      <c r="G481" s="21"/>
      <c r="H481" s="12" t="s">
        <v>20</v>
      </c>
      <c r="I481" s="13"/>
      <c r="J481" s="16">
        <f t="shared" ref="J481:J484" si="119">G481*I481</f>
        <v>0</v>
      </c>
      <c r="K481" s="304"/>
      <c r="L481" s="298"/>
      <c r="M481" s="298">
        <f t="shared" si="118"/>
        <v>0</v>
      </c>
      <c r="N481" s="16"/>
      <c r="O481" s="104"/>
      <c r="Q481" s="281"/>
      <c r="R481" s="281"/>
      <c r="S481" s="281"/>
      <c r="T481" s="281"/>
      <c r="U481" s="281"/>
    </row>
    <row r="482" spans="1:21" ht="12" customHeight="1" x14ac:dyDescent="0.3">
      <c r="A482" s="347" t="str">
        <f>A481</f>
        <v>Exclude</v>
      </c>
      <c r="D482" s="425" t="s">
        <v>1308</v>
      </c>
      <c r="E482" s="44" t="s">
        <v>199</v>
      </c>
      <c r="F482" s="10"/>
      <c r="G482" s="21"/>
      <c r="H482" s="12" t="s">
        <v>20</v>
      </c>
      <c r="I482" s="13"/>
      <c r="J482" s="16">
        <f t="shared" si="119"/>
        <v>0</v>
      </c>
      <c r="K482" s="304"/>
      <c r="L482" s="298"/>
      <c r="M482" s="298">
        <f t="shared" si="118"/>
        <v>0</v>
      </c>
      <c r="N482" s="16"/>
      <c r="O482" s="104"/>
      <c r="Q482" s="281"/>
      <c r="R482" s="281"/>
      <c r="S482" s="281"/>
      <c r="T482" s="281"/>
      <c r="U482" s="281"/>
    </row>
    <row r="483" spans="1:21" x14ac:dyDescent="0.3">
      <c r="A483" s="347" t="str">
        <f>A482</f>
        <v>Exclude</v>
      </c>
      <c r="D483" s="425" t="s">
        <v>1308</v>
      </c>
      <c r="E483" s="44" t="s">
        <v>193</v>
      </c>
      <c r="F483" s="10"/>
      <c r="G483" s="21"/>
      <c r="H483" s="12" t="s">
        <v>2</v>
      </c>
      <c r="I483" s="13"/>
      <c r="J483" s="16">
        <f t="shared" si="119"/>
        <v>0</v>
      </c>
      <c r="K483" s="304"/>
      <c r="L483" s="298"/>
      <c r="M483" s="298">
        <f t="shared" si="118"/>
        <v>0</v>
      </c>
      <c r="N483" s="16"/>
      <c r="O483" s="104"/>
      <c r="Q483" s="281"/>
      <c r="R483" s="281"/>
      <c r="S483" s="281"/>
      <c r="T483" s="281"/>
      <c r="U483" s="281"/>
    </row>
    <row r="484" spans="1:21" x14ac:dyDescent="0.3">
      <c r="A484" s="347" t="str">
        <f>A483</f>
        <v>Exclude</v>
      </c>
      <c r="D484" s="425" t="s">
        <v>1308</v>
      </c>
      <c r="E484" s="44" t="s">
        <v>83</v>
      </c>
      <c r="F484" s="10">
        <v>4.25</v>
      </c>
      <c r="G484" s="21"/>
      <c r="H484" s="12" t="s">
        <v>20</v>
      </c>
      <c r="I484" s="13"/>
      <c r="J484" s="16">
        <f t="shared" si="119"/>
        <v>0</v>
      </c>
      <c r="K484" s="304"/>
      <c r="L484" s="298"/>
      <c r="M484" s="298">
        <f t="shared" si="118"/>
        <v>0</v>
      </c>
      <c r="N484" s="16"/>
      <c r="O484" s="104"/>
      <c r="Q484" s="281"/>
      <c r="R484" s="281"/>
      <c r="S484" s="281"/>
      <c r="T484" s="281"/>
      <c r="U484" s="281"/>
    </row>
    <row r="485" spans="1:21" x14ac:dyDescent="0.3">
      <c r="A485" s="347" t="str">
        <f>A484</f>
        <v>Exclude</v>
      </c>
      <c r="D485" s="425" t="s">
        <v>1308</v>
      </c>
      <c r="E485" s="44" t="s">
        <v>85</v>
      </c>
      <c r="F485" s="10" t="s">
        <v>519</v>
      </c>
      <c r="G485" s="21">
        <f>IF('Project Info Input'!C77=22,'Project Info Input'!C34,0)</f>
        <v>0</v>
      </c>
      <c r="H485" s="12" t="s">
        <v>1</v>
      </c>
      <c r="I485" s="13">
        <v>1.03</v>
      </c>
      <c r="J485" s="16">
        <f>G485*I485</f>
        <v>0</v>
      </c>
      <c r="K485" s="304"/>
      <c r="L485" s="298"/>
      <c r="M485" s="298">
        <f t="shared" ref="M485:M490" si="120">IF(K485="x","Included in Sub Bid",J485)</f>
        <v>0</v>
      </c>
      <c r="N485" s="16"/>
      <c r="O485" s="104"/>
      <c r="Q485" s="281"/>
      <c r="R485" s="281"/>
      <c r="S485" s="281"/>
      <c r="T485" s="281"/>
      <c r="U485" s="281"/>
    </row>
    <row r="486" spans="1:21" x14ac:dyDescent="0.3">
      <c r="A486" s="347" t="str">
        <f t="shared" si="117"/>
        <v>Exclude</v>
      </c>
      <c r="D486" s="425" t="s">
        <v>1308</v>
      </c>
      <c r="E486" s="44" t="s">
        <v>85</v>
      </c>
      <c r="F486" s="10" t="s">
        <v>520</v>
      </c>
      <c r="G486" s="21">
        <f>IF('Project Info Input'!C77=20,'Project Info Input'!C34,0)</f>
        <v>0</v>
      </c>
      <c r="H486" s="12" t="s">
        <v>1</v>
      </c>
      <c r="I486" s="13">
        <v>1.28</v>
      </c>
      <c r="J486" s="16">
        <f t="shared" ref="J486:J487" si="121">G486*I486</f>
        <v>0</v>
      </c>
      <c r="K486" s="304"/>
      <c r="L486" s="298"/>
      <c r="M486" s="298">
        <f t="shared" si="120"/>
        <v>0</v>
      </c>
      <c r="N486" s="16"/>
      <c r="O486" s="104"/>
      <c r="Q486" s="281"/>
      <c r="R486" s="281"/>
      <c r="S486" s="281"/>
      <c r="T486" s="281"/>
      <c r="U486" s="281"/>
    </row>
    <row r="487" spans="1:21" x14ac:dyDescent="0.3">
      <c r="A487" s="347" t="str">
        <f t="shared" si="117"/>
        <v>Exclude</v>
      </c>
      <c r="D487" s="425" t="s">
        <v>1308</v>
      </c>
      <c r="E487" s="44" t="s">
        <v>85</v>
      </c>
      <c r="F487" s="10" t="s">
        <v>521</v>
      </c>
      <c r="G487" s="21">
        <f>IF('Project Info Input'!C77=18,'Project Info Input'!C34,0)</f>
        <v>0</v>
      </c>
      <c r="H487" s="12" t="s">
        <v>1</v>
      </c>
      <c r="I487" s="13">
        <v>1.68</v>
      </c>
      <c r="J487" s="16">
        <f t="shared" si="121"/>
        <v>0</v>
      </c>
      <c r="K487" s="304"/>
      <c r="L487" s="298"/>
      <c r="M487" s="298">
        <f t="shared" si="120"/>
        <v>0</v>
      </c>
      <c r="N487" s="16"/>
      <c r="O487" s="104"/>
      <c r="Q487" s="281"/>
      <c r="R487" s="281"/>
      <c r="S487" s="281"/>
      <c r="T487" s="281"/>
      <c r="U487" s="281"/>
    </row>
    <row r="488" spans="1:21" x14ac:dyDescent="0.3">
      <c r="A488" s="347" t="str">
        <f t="shared" si="117"/>
        <v>Exclude</v>
      </c>
      <c r="D488" s="425" t="s">
        <v>1308</v>
      </c>
      <c r="E488" s="44" t="s">
        <v>453</v>
      </c>
      <c r="F488" s="10"/>
      <c r="G488" s="21"/>
      <c r="H488" s="12" t="s">
        <v>1</v>
      </c>
      <c r="I488" s="13"/>
      <c r="J488" s="16">
        <f t="shared" ref="J488:J490" si="122">G488*I488</f>
        <v>0</v>
      </c>
      <c r="K488" s="304"/>
      <c r="L488" s="298"/>
      <c r="M488" s="298">
        <f t="shared" si="120"/>
        <v>0</v>
      </c>
      <c r="N488" s="16"/>
      <c r="O488" s="104"/>
      <c r="Q488" s="281"/>
      <c r="R488" s="281"/>
      <c r="S488" s="281"/>
      <c r="T488" s="281"/>
      <c r="U488" s="281"/>
    </row>
    <row r="489" spans="1:21" x14ac:dyDescent="0.3">
      <c r="A489" s="347" t="str">
        <f t="shared" si="117"/>
        <v>Exclude</v>
      </c>
      <c r="D489" s="425" t="s">
        <v>1308</v>
      </c>
      <c r="E489" s="44" t="s">
        <v>86</v>
      </c>
      <c r="F489" s="10"/>
      <c r="G489" s="21"/>
      <c r="H489" s="12" t="s">
        <v>1</v>
      </c>
      <c r="I489" s="13"/>
      <c r="J489" s="16">
        <f t="shared" si="122"/>
        <v>0</v>
      </c>
      <c r="K489" s="304"/>
      <c r="L489" s="298"/>
      <c r="M489" s="298">
        <f t="shared" si="120"/>
        <v>0</v>
      </c>
      <c r="N489" s="16"/>
      <c r="O489" s="104"/>
      <c r="Q489" s="281"/>
      <c r="R489" s="281"/>
      <c r="S489" s="281"/>
      <c r="T489" s="281"/>
      <c r="U489" s="281"/>
    </row>
    <row r="490" spans="1:21" x14ac:dyDescent="0.3">
      <c r="A490" s="347" t="str">
        <f t="shared" si="117"/>
        <v>Exclude</v>
      </c>
      <c r="D490" s="425" t="s">
        <v>1308</v>
      </c>
      <c r="E490" s="44" t="s">
        <v>87</v>
      </c>
      <c r="F490" s="10"/>
      <c r="G490" s="21"/>
      <c r="H490" s="12" t="s">
        <v>1</v>
      </c>
      <c r="I490" s="13">
        <v>1.68</v>
      </c>
      <c r="J490" s="16">
        <f t="shared" si="122"/>
        <v>0</v>
      </c>
      <c r="K490" s="304"/>
      <c r="L490" s="298"/>
      <c r="M490" s="298">
        <f t="shared" si="120"/>
        <v>0</v>
      </c>
      <c r="N490" s="16"/>
      <c r="O490" s="104"/>
      <c r="Q490" s="281"/>
      <c r="R490" s="281"/>
      <c r="S490" s="281"/>
      <c r="T490" s="281"/>
      <c r="U490" s="281"/>
    </row>
    <row r="491" spans="1:21" x14ac:dyDescent="0.3">
      <c r="A491" s="347" t="str">
        <f t="shared" si="117"/>
        <v>Exclude</v>
      </c>
      <c r="D491" s="427" t="s">
        <v>1308</v>
      </c>
      <c r="E491" s="199" t="s">
        <v>943</v>
      </c>
      <c r="F491" s="200"/>
      <c r="G491" s="201"/>
      <c r="H491" s="202" t="s">
        <v>0</v>
      </c>
      <c r="I491" s="203"/>
      <c r="J491" s="203"/>
      <c r="K491" s="304"/>
      <c r="L491" s="302"/>
      <c r="M491" s="302">
        <f>IF(K491="x","Included in Sub Bid",G491*I491)</f>
        <v>0</v>
      </c>
      <c r="N491" s="16"/>
      <c r="O491" s="104"/>
      <c r="Q491" s="281"/>
      <c r="R491" s="281"/>
      <c r="S491" s="281"/>
      <c r="T491" s="281"/>
      <c r="U491" s="281"/>
    </row>
    <row r="492" spans="1:21" x14ac:dyDescent="0.3">
      <c r="A492" s="347" t="str">
        <f t="shared" si="117"/>
        <v>Exclude</v>
      </c>
      <c r="D492" s="427" t="s">
        <v>1308</v>
      </c>
      <c r="E492" s="199" t="s">
        <v>944</v>
      </c>
      <c r="F492" s="200"/>
      <c r="G492" s="201"/>
      <c r="H492" s="202" t="s">
        <v>0</v>
      </c>
      <c r="I492" s="203"/>
      <c r="J492" s="203"/>
      <c r="K492" s="304"/>
      <c r="L492" s="302"/>
      <c r="M492" s="302">
        <f>IF(K492="x","Included in Sub Bid",G492*I492)</f>
        <v>0</v>
      </c>
      <c r="N492" s="16"/>
      <c r="O492" s="104"/>
      <c r="Q492" s="281"/>
      <c r="R492" s="281"/>
      <c r="S492" s="281"/>
      <c r="T492" s="281"/>
      <c r="U492" s="281"/>
    </row>
    <row r="493" spans="1:21" x14ac:dyDescent="0.3">
      <c r="A493" s="347" t="str">
        <f t="shared" si="117"/>
        <v>Exclude</v>
      </c>
      <c r="D493" s="425"/>
      <c r="E493" s="36"/>
      <c r="F493" s="10"/>
      <c r="G493" s="21"/>
      <c r="H493" s="12"/>
      <c r="I493" s="13"/>
      <c r="J493" s="16"/>
      <c r="K493" s="304"/>
      <c r="L493" s="298"/>
      <c r="M493" s="298"/>
      <c r="N493" s="16"/>
      <c r="O493" s="104"/>
      <c r="Q493" s="281"/>
      <c r="R493" s="281"/>
      <c r="S493" s="281"/>
      <c r="T493" s="281"/>
      <c r="U493" s="281"/>
    </row>
    <row r="494" spans="1:21" x14ac:dyDescent="0.3">
      <c r="A494" s="347" t="str">
        <f t="shared" si="117"/>
        <v>Exclude</v>
      </c>
      <c r="D494" s="425"/>
      <c r="E494" s="39"/>
      <c r="F494" s="10"/>
      <c r="G494" s="21"/>
      <c r="H494" s="12"/>
      <c r="I494" s="13"/>
      <c r="J494" s="16"/>
      <c r="K494" s="301"/>
      <c r="L494" s="298"/>
      <c r="M494" s="298"/>
      <c r="N494" s="16"/>
      <c r="O494" s="114"/>
      <c r="Q494" s="281"/>
      <c r="R494" s="281"/>
      <c r="S494" s="281"/>
      <c r="T494" s="281"/>
      <c r="U494" s="281"/>
    </row>
    <row r="495" spans="1:21" ht="15.5" x14ac:dyDescent="0.3">
      <c r="A495" s="347" t="str">
        <f>IF(J495=0,"Exclude","x")</f>
        <v>Exclude</v>
      </c>
      <c r="D495" s="424" t="s">
        <v>817</v>
      </c>
      <c r="E495" s="69" t="s">
        <v>631</v>
      </c>
      <c r="F495" s="56"/>
      <c r="G495" s="57"/>
      <c r="H495" s="58"/>
      <c r="I495" s="59"/>
      <c r="J495" s="60">
        <f>SUBTOTAL(9,J496:J509)</f>
        <v>0</v>
      </c>
      <c r="K495" s="59">
        <f>IFERROR(J495/$G$6,0)</f>
        <v>0</v>
      </c>
      <c r="L495" s="309"/>
      <c r="M495" s="60"/>
      <c r="N495" s="59">
        <f>SUM(M496:M509)</f>
        <v>0</v>
      </c>
      <c r="O495" s="435">
        <f>IFERROR(N495/$G$6,0)</f>
        <v>0</v>
      </c>
      <c r="Q495" s="281"/>
      <c r="R495" s="281"/>
      <c r="S495" s="281"/>
      <c r="T495" s="281"/>
      <c r="U495" s="281"/>
    </row>
    <row r="496" spans="1:21" x14ac:dyDescent="0.3">
      <c r="A496" s="347" t="str">
        <f t="shared" ref="A496:A509" si="123">A495</f>
        <v>Exclude</v>
      </c>
      <c r="D496" s="426" t="s">
        <v>1306</v>
      </c>
      <c r="E496" s="39" t="s">
        <v>1203</v>
      </c>
      <c r="F496" s="24"/>
      <c r="G496" s="292"/>
      <c r="H496" s="25"/>
      <c r="I496" s="293"/>
      <c r="J496" s="293"/>
      <c r="K496" s="301"/>
      <c r="L496" s="300">
        <v>0</v>
      </c>
      <c r="M496" s="301">
        <f>L496</f>
        <v>0</v>
      </c>
      <c r="N496" s="293"/>
      <c r="O496" s="294"/>
      <c r="Q496" s="282"/>
      <c r="R496" s="281"/>
      <c r="S496" s="283"/>
      <c r="T496" s="283"/>
      <c r="U496" s="283"/>
    </row>
    <row r="497" spans="1:21" x14ac:dyDescent="0.3">
      <c r="A497" s="347" t="str">
        <f t="shared" si="123"/>
        <v>Exclude</v>
      </c>
      <c r="D497" s="425" t="s">
        <v>1306</v>
      </c>
      <c r="E497" s="44" t="s">
        <v>162</v>
      </c>
      <c r="F497" s="10"/>
      <c r="G497" s="21">
        <f>G6</f>
        <v>0</v>
      </c>
      <c r="H497" s="19" t="s">
        <v>1</v>
      </c>
      <c r="I497" s="13">
        <v>0.8</v>
      </c>
      <c r="J497" s="16">
        <f>G497*I497</f>
        <v>0</v>
      </c>
      <c r="K497" s="304"/>
      <c r="L497" s="298"/>
      <c r="M497" s="298">
        <f t="shared" ref="M497:M505" si="124">IF(K497="x","Included in Sub Bid",J497)</f>
        <v>0</v>
      </c>
      <c r="N497" s="16"/>
      <c r="O497" s="104"/>
      <c r="Q497" s="281"/>
      <c r="R497" s="281"/>
      <c r="S497" s="281"/>
      <c r="T497" s="281"/>
      <c r="U497" s="281"/>
    </row>
    <row r="498" spans="1:21" x14ac:dyDescent="0.3">
      <c r="A498" s="347" t="str">
        <f t="shared" si="123"/>
        <v>Exclude</v>
      </c>
      <c r="D498" s="425" t="s">
        <v>1306</v>
      </c>
      <c r="E498" s="44" t="s">
        <v>592</v>
      </c>
      <c r="F498" s="10"/>
      <c r="G498" s="21"/>
      <c r="H498" s="19" t="s">
        <v>1</v>
      </c>
      <c r="I498" s="13"/>
      <c r="J498" s="16">
        <f>G498*I498</f>
        <v>0</v>
      </c>
      <c r="K498" s="304"/>
      <c r="L498" s="298"/>
      <c r="M498" s="298">
        <f t="shared" si="124"/>
        <v>0</v>
      </c>
      <c r="N498" s="16"/>
      <c r="O498" s="104"/>
      <c r="Q498" s="281"/>
      <c r="R498" s="281"/>
      <c r="S498" s="281"/>
      <c r="T498" s="281"/>
      <c r="U498" s="281"/>
    </row>
    <row r="499" spans="1:21" x14ac:dyDescent="0.3">
      <c r="A499" s="347" t="str">
        <f t="shared" si="123"/>
        <v>Exclude</v>
      </c>
      <c r="D499" s="425" t="s">
        <v>1306</v>
      </c>
      <c r="E499" s="44" t="s">
        <v>163</v>
      </c>
      <c r="F499" s="10"/>
      <c r="G499" s="21"/>
      <c r="H499" s="19" t="s">
        <v>1</v>
      </c>
      <c r="I499" s="13"/>
      <c r="J499" s="16">
        <f t="shared" ref="J499:J504" si="125">G499*I499</f>
        <v>0</v>
      </c>
      <c r="K499" s="304"/>
      <c r="L499" s="298"/>
      <c r="M499" s="298">
        <f t="shared" si="124"/>
        <v>0</v>
      </c>
      <c r="N499" s="16"/>
      <c r="O499" s="104"/>
      <c r="Q499" s="281"/>
      <c r="R499" s="281"/>
      <c r="S499" s="281"/>
      <c r="T499" s="281"/>
      <c r="U499" s="281"/>
    </row>
    <row r="500" spans="1:21" x14ac:dyDescent="0.3">
      <c r="A500" s="347" t="str">
        <f t="shared" si="123"/>
        <v>Exclude</v>
      </c>
      <c r="D500" s="425" t="s">
        <v>1306</v>
      </c>
      <c r="E500" s="44" t="s">
        <v>32</v>
      </c>
      <c r="F500" s="10"/>
      <c r="G500" s="21">
        <f>G469</f>
        <v>0</v>
      </c>
      <c r="H500" s="19" t="s">
        <v>2</v>
      </c>
      <c r="I500" s="13">
        <v>100</v>
      </c>
      <c r="J500" s="16">
        <f t="shared" si="125"/>
        <v>0</v>
      </c>
      <c r="K500" s="304"/>
      <c r="L500" s="298"/>
      <c r="M500" s="298">
        <f t="shared" si="124"/>
        <v>0</v>
      </c>
      <c r="N500" s="16"/>
      <c r="O500" s="104"/>
      <c r="Q500" s="286"/>
      <c r="R500" s="281"/>
      <c r="S500" s="281"/>
      <c r="T500" s="281"/>
      <c r="U500" s="281"/>
    </row>
    <row r="501" spans="1:21" x14ac:dyDescent="0.3">
      <c r="A501" s="347" t="str">
        <f t="shared" si="123"/>
        <v>Exclude</v>
      </c>
      <c r="D501" s="425" t="s">
        <v>1306</v>
      </c>
      <c r="E501" s="44" t="s">
        <v>15</v>
      </c>
      <c r="F501" s="10"/>
      <c r="G501" s="21">
        <f>G458</f>
        <v>0</v>
      </c>
      <c r="H501" s="19" t="s">
        <v>2</v>
      </c>
      <c r="I501" s="13">
        <v>850</v>
      </c>
      <c r="J501" s="16">
        <f t="shared" si="125"/>
        <v>0</v>
      </c>
      <c r="K501" s="304"/>
      <c r="L501" s="298"/>
      <c r="M501" s="298">
        <f t="shared" si="124"/>
        <v>0</v>
      </c>
      <c r="N501" s="16"/>
      <c r="O501" s="104"/>
      <c r="Q501" s="281"/>
      <c r="R501" s="281"/>
      <c r="S501" s="281"/>
      <c r="T501" s="281"/>
      <c r="U501" s="281"/>
    </row>
    <row r="502" spans="1:21" x14ac:dyDescent="0.3">
      <c r="A502" s="347" t="str">
        <f t="shared" si="123"/>
        <v>Exclude</v>
      </c>
      <c r="D502" s="425" t="s">
        <v>1306</v>
      </c>
      <c r="E502" s="36" t="s">
        <v>33</v>
      </c>
      <c r="F502" s="10"/>
      <c r="G502" s="21">
        <f>SUM(G459:G460)</f>
        <v>0</v>
      </c>
      <c r="H502" s="19" t="s">
        <v>2</v>
      </c>
      <c r="I502" s="13">
        <v>1800</v>
      </c>
      <c r="J502" s="16">
        <f t="shared" si="125"/>
        <v>0</v>
      </c>
      <c r="K502" s="304"/>
      <c r="L502" s="298"/>
      <c r="M502" s="298">
        <f t="shared" si="124"/>
        <v>0</v>
      </c>
      <c r="N502" s="16"/>
      <c r="O502" s="104"/>
      <c r="Q502" s="281"/>
      <c r="R502" s="281"/>
      <c r="S502" s="281"/>
      <c r="T502" s="281"/>
      <c r="U502" s="281"/>
    </row>
    <row r="503" spans="1:21" x14ac:dyDescent="0.3">
      <c r="A503" s="347" t="str">
        <f t="shared" si="123"/>
        <v>Exclude</v>
      </c>
      <c r="D503" s="425" t="s">
        <v>1306</v>
      </c>
      <c r="E503" s="36" t="s">
        <v>522</v>
      </c>
      <c r="F503" s="10"/>
      <c r="G503" s="21">
        <f>+G466</f>
        <v>0</v>
      </c>
      <c r="H503" s="19" t="s">
        <v>2</v>
      </c>
      <c r="I503" s="13"/>
      <c r="J503" s="16">
        <f t="shared" si="125"/>
        <v>0</v>
      </c>
      <c r="K503" s="304"/>
      <c r="L503" s="298"/>
      <c r="M503" s="298">
        <f t="shared" si="124"/>
        <v>0</v>
      </c>
      <c r="N503" s="16"/>
      <c r="O503" s="104"/>
      <c r="Q503" s="281"/>
      <c r="R503" s="281"/>
      <c r="S503" s="281"/>
      <c r="T503" s="281"/>
      <c r="U503" s="281"/>
    </row>
    <row r="504" spans="1:21" x14ac:dyDescent="0.3">
      <c r="A504" s="347" t="str">
        <f t="shared" si="123"/>
        <v>Exclude</v>
      </c>
      <c r="D504" s="425" t="s">
        <v>1306</v>
      </c>
      <c r="E504" s="36" t="s">
        <v>88</v>
      </c>
      <c r="F504" s="10"/>
      <c r="G504" s="21">
        <f>G468</f>
        <v>0</v>
      </c>
      <c r="H504" s="19" t="s">
        <v>2</v>
      </c>
      <c r="I504" s="13">
        <v>1000</v>
      </c>
      <c r="J504" s="16">
        <f t="shared" si="125"/>
        <v>0</v>
      </c>
      <c r="K504" s="304"/>
      <c r="L504" s="298"/>
      <c r="M504" s="298">
        <f t="shared" si="124"/>
        <v>0</v>
      </c>
      <c r="N504" s="16"/>
      <c r="O504" s="104"/>
      <c r="Q504" s="281"/>
      <c r="R504" s="281"/>
      <c r="S504" s="281"/>
      <c r="T504" s="281"/>
      <c r="U504" s="281"/>
    </row>
    <row r="505" spans="1:21" x14ac:dyDescent="0.3">
      <c r="A505" s="347" t="str">
        <f t="shared" si="123"/>
        <v>Exclude</v>
      </c>
      <c r="D505" s="425" t="s">
        <v>1306</v>
      </c>
      <c r="E505" s="36" t="s">
        <v>456</v>
      </c>
      <c r="F505" s="10"/>
      <c r="G505" s="21"/>
      <c r="H505" s="19" t="s">
        <v>2</v>
      </c>
      <c r="I505" s="13"/>
      <c r="J505" s="16">
        <f t="shared" ref="J505" si="126">G505*I505</f>
        <v>0</v>
      </c>
      <c r="K505" s="304"/>
      <c r="L505" s="298"/>
      <c r="M505" s="298">
        <f t="shared" si="124"/>
        <v>0</v>
      </c>
      <c r="N505" s="16"/>
      <c r="O505" s="104"/>
      <c r="Q505" s="281"/>
      <c r="R505" s="281"/>
      <c r="S505" s="281"/>
      <c r="T505" s="281"/>
      <c r="U505" s="281"/>
    </row>
    <row r="506" spans="1:21" x14ac:dyDescent="0.3">
      <c r="A506" s="347" t="str">
        <f t="shared" si="123"/>
        <v>Exclude</v>
      </c>
      <c r="D506" s="427" t="s">
        <v>1306</v>
      </c>
      <c r="E506" s="199" t="s">
        <v>943</v>
      </c>
      <c r="F506" s="200"/>
      <c r="G506" s="201"/>
      <c r="H506" s="202" t="s">
        <v>0</v>
      </c>
      <c r="I506" s="203"/>
      <c r="J506" s="203"/>
      <c r="K506" s="304"/>
      <c r="L506" s="302"/>
      <c r="M506" s="302">
        <f>IF(K506="x","Included in Sub Bid",G506*I506)</f>
        <v>0</v>
      </c>
      <c r="N506" s="16"/>
      <c r="O506" s="104"/>
      <c r="Q506" s="281"/>
      <c r="R506" s="281"/>
      <c r="S506" s="281"/>
      <c r="T506" s="281"/>
      <c r="U506" s="281"/>
    </row>
    <row r="507" spans="1:21" x14ac:dyDescent="0.3">
      <c r="A507" s="347" t="str">
        <f t="shared" si="123"/>
        <v>Exclude</v>
      </c>
      <c r="D507" s="427" t="s">
        <v>1306</v>
      </c>
      <c r="E507" s="199" t="s">
        <v>944</v>
      </c>
      <c r="F507" s="200"/>
      <c r="G507" s="201"/>
      <c r="H507" s="202" t="s">
        <v>0</v>
      </c>
      <c r="I507" s="203"/>
      <c r="J507" s="203"/>
      <c r="K507" s="304"/>
      <c r="L507" s="302"/>
      <c r="M507" s="302">
        <f>IF(K507="x","Included in Sub Bid",G507*I507)</f>
        <v>0</v>
      </c>
      <c r="N507" s="16"/>
      <c r="O507" s="104"/>
      <c r="Q507" s="281"/>
      <c r="R507" s="281"/>
      <c r="S507" s="281"/>
      <c r="T507" s="281"/>
      <c r="U507" s="281"/>
    </row>
    <row r="508" spans="1:21" x14ac:dyDescent="0.3">
      <c r="A508" s="347" t="str">
        <f t="shared" si="123"/>
        <v>Exclude</v>
      </c>
      <c r="D508" s="425"/>
      <c r="E508" s="36"/>
      <c r="F508" s="10"/>
      <c r="G508" s="21"/>
      <c r="H508" s="12"/>
      <c r="I508" s="13"/>
      <c r="J508" s="16"/>
      <c r="K508" s="304"/>
      <c r="L508" s="298"/>
      <c r="M508" s="298"/>
      <c r="N508" s="16"/>
      <c r="O508" s="104"/>
      <c r="Q508" s="281"/>
      <c r="R508" s="281"/>
      <c r="S508" s="281"/>
      <c r="T508" s="281"/>
      <c r="U508" s="281"/>
    </row>
    <row r="509" spans="1:21" x14ac:dyDescent="0.3">
      <c r="A509" s="347" t="str">
        <f t="shared" si="123"/>
        <v>Exclude</v>
      </c>
      <c r="D509" s="425"/>
      <c r="E509" s="39"/>
      <c r="F509" s="10"/>
      <c r="G509" s="21"/>
      <c r="H509" s="12"/>
      <c r="I509" s="13"/>
      <c r="J509" s="16"/>
      <c r="K509" s="301"/>
      <c r="L509" s="298"/>
      <c r="M509" s="298"/>
      <c r="N509" s="16"/>
      <c r="O509" s="114"/>
      <c r="Q509" s="281"/>
      <c r="R509" s="281"/>
      <c r="S509" s="281"/>
      <c r="T509" s="281"/>
      <c r="U509" s="281"/>
    </row>
    <row r="510" spans="1:21" ht="15.5" x14ac:dyDescent="0.35">
      <c r="A510" s="347" t="str">
        <f>IF(J510=0,"Exclude","x")</f>
        <v>Exclude</v>
      </c>
      <c r="D510" s="431"/>
      <c r="E510" s="68" t="s">
        <v>106</v>
      </c>
      <c r="F510" s="63"/>
      <c r="G510" s="64"/>
      <c r="H510" s="65"/>
      <c r="I510" s="66"/>
      <c r="J510" s="66">
        <f>SUBTOTAL(9,J511:J538)</f>
        <v>0</v>
      </c>
      <c r="K510" s="438">
        <f>IFERROR(J510/$G$6,0)</f>
        <v>0</v>
      </c>
      <c r="L510" s="311"/>
      <c r="M510" s="66"/>
      <c r="N510" s="66">
        <f>N511+N519</f>
        <v>0</v>
      </c>
      <c r="O510" s="317">
        <f>IFERROR(N510/$G$6,0)</f>
        <v>0</v>
      </c>
      <c r="Q510" s="281"/>
      <c r="R510" s="281"/>
      <c r="S510" s="281"/>
      <c r="T510" s="281"/>
      <c r="U510" s="281"/>
    </row>
    <row r="511" spans="1:21" ht="15.5" x14ac:dyDescent="0.3">
      <c r="A511" s="347" t="str">
        <f>IF(J511=0,"Exclude","x")</f>
        <v>Exclude</v>
      </c>
      <c r="D511" s="424" t="s">
        <v>816</v>
      </c>
      <c r="E511" s="69" t="s">
        <v>632</v>
      </c>
      <c r="F511" s="56"/>
      <c r="G511" s="57"/>
      <c r="H511" s="58"/>
      <c r="I511" s="59"/>
      <c r="J511" s="60">
        <f>SUBTOTAL(9,J512:J518)</f>
        <v>0</v>
      </c>
      <c r="K511" s="59">
        <f>IFERROR(J511/$G$6,0)</f>
        <v>0</v>
      </c>
      <c r="L511" s="309"/>
      <c r="M511" s="60"/>
      <c r="N511" s="59">
        <f>SUM(M512:M518)</f>
        <v>0</v>
      </c>
      <c r="O511" s="435">
        <f>IFERROR(N511/$G$6,0)</f>
        <v>0</v>
      </c>
      <c r="Q511" s="281"/>
      <c r="R511" s="281"/>
      <c r="S511" s="281"/>
      <c r="T511" s="281"/>
      <c r="U511" s="281"/>
    </row>
    <row r="512" spans="1:21" x14ac:dyDescent="0.3">
      <c r="A512" s="347" t="str">
        <f t="shared" ref="A512:A518" si="127">A511</f>
        <v>Exclude</v>
      </c>
      <c r="D512" s="426" t="s">
        <v>1309</v>
      </c>
      <c r="E512" s="39" t="s">
        <v>1203</v>
      </c>
      <c r="F512" s="24"/>
      <c r="G512" s="292"/>
      <c r="H512" s="25"/>
      <c r="I512" s="293"/>
      <c r="J512" s="293"/>
      <c r="K512" s="301"/>
      <c r="L512" s="300">
        <v>0</v>
      </c>
      <c r="M512" s="301">
        <f>L512</f>
        <v>0</v>
      </c>
      <c r="N512" s="293"/>
      <c r="O512" s="294"/>
      <c r="Q512" s="282"/>
      <c r="R512" s="281"/>
      <c r="S512" s="283"/>
      <c r="T512" s="283"/>
      <c r="U512" s="283"/>
    </row>
    <row r="513" spans="1:21" ht="12.75" customHeight="1" x14ac:dyDescent="0.3">
      <c r="A513" s="347" t="str">
        <f t="shared" si="127"/>
        <v>Exclude</v>
      </c>
      <c r="D513" s="425" t="s">
        <v>1309</v>
      </c>
      <c r="E513" s="44" t="s">
        <v>155</v>
      </c>
      <c r="F513" s="10"/>
      <c r="G513" s="21">
        <f>'Project Info Input'!C80</f>
        <v>0</v>
      </c>
      <c r="H513" s="19" t="s">
        <v>3</v>
      </c>
      <c r="I513" s="13">
        <v>6</v>
      </c>
      <c r="J513" s="16">
        <f>(G513*I513)</f>
        <v>0</v>
      </c>
      <c r="K513" s="304"/>
      <c r="L513" s="298"/>
      <c r="M513" s="298">
        <f t="shared" ref="M513:M516" si="128">IF(K513="x","Included in Sub Bid",J513)</f>
        <v>0</v>
      </c>
      <c r="N513" s="16"/>
      <c r="O513" s="104"/>
      <c r="Q513" s="281"/>
      <c r="R513" s="281"/>
      <c r="S513" s="281"/>
      <c r="T513" s="281"/>
      <c r="U513" s="281"/>
    </row>
    <row r="514" spans="1:21" ht="12.75" customHeight="1" x14ac:dyDescent="0.3">
      <c r="A514" s="347" t="str">
        <f t="shared" si="127"/>
        <v>Exclude</v>
      </c>
      <c r="D514" s="425" t="s">
        <v>1309</v>
      </c>
      <c r="E514" s="44" t="s">
        <v>91</v>
      </c>
      <c r="F514" s="10"/>
      <c r="G514" s="21"/>
      <c r="H514" s="19" t="s">
        <v>3</v>
      </c>
      <c r="I514" s="13"/>
      <c r="J514" s="16">
        <f t="shared" ref="J514:J516" si="129">(G514*I514)</f>
        <v>0</v>
      </c>
      <c r="K514" s="304"/>
      <c r="L514" s="298"/>
      <c r="M514" s="298">
        <f t="shared" si="128"/>
        <v>0</v>
      </c>
      <c r="N514" s="16"/>
      <c r="O514" s="104"/>
      <c r="Q514" s="281"/>
      <c r="R514" s="281"/>
      <c r="S514" s="281"/>
      <c r="T514" s="281"/>
      <c r="U514" s="281"/>
    </row>
    <row r="515" spans="1:21" ht="12.75" customHeight="1" x14ac:dyDescent="0.3">
      <c r="A515" s="347" t="str">
        <f t="shared" si="127"/>
        <v>Exclude</v>
      </c>
      <c r="D515" s="425" t="s">
        <v>1309</v>
      </c>
      <c r="E515" s="44" t="s">
        <v>92</v>
      </c>
      <c r="F515" s="10"/>
      <c r="G515" s="21"/>
      <c r="H515" s="19" t="s">
        <v>2</v>
      </c>
      <c r="I515" s="13"/>
      <c r="J515" s="16">
        <f t="shared" si="129"/>
        <v>0</v>
      </c>
      <c r="K515" s="304"/>
      <c r="L515" s="298"/>
      <c r="M515" s="298">
        <f t="shared" si="128"/>
        <v>0</v>
      </c>
      <c r="N515" s="16"/>
      <c r="O515" s="104"/>
      <c r="Q515" s="281"/>
      <c r="R515" s="281"/>
      <c r="S515" s="281"/>
      <c r="T515" s="281"/>
      <c r="U515" s="281"/>
    </row>
    <row r="516" spans="1:21" ht="12.75" customHeight="1" x14ac:dyDescent="0.3">
      <c r="A516" s="347" t="str">
        <f t="shared" si="127"/>
        <v>Exclude</v>
      </c>
      <c r="D516" s="425" t="s">
        <v>1309</v>
      </c>
      <c r="E516" s="44" t="s">
        <v>11</v>
      </c>
      <c r="F516" s="10"/>
      <c r="G516" s="21">
        <f>'Project Info Input'!C81</f>
        <v>0</v>
      </c>
      <c r="H516" s="19" t="s">
        <v>2</v>
      </c>
      <c r="I516" s="13">
        <v>500</v>
      </c>
      <c r="J516" s="16">
        <f t="shared" si="129"/>
        <v>0</v>
      </c>
      <c r="K516" s="304"/>
      <c r="L516" s="298"/>
      <c r="M516" s="298">
        <f t="shared" si="128"/>
        <v>0</v>
      </c>
      <c r="N516" s="16"/>
      <c r="O516" s="104"/>
      <c r="Q516" s="281"/>
      <c r="R516" s="281"/>
      <c r="S516" s="281"/>
      <c r="T516" s="281"/>
      <c r="U516" s="281"/>
    </row>
    <row r="517" spans="1:21" ht="12" customHeight="1" x14ac:dyDescent="0.3">
      <c r="A517" s="347" t="str">
        <f t="shared" si="127"/>
        <v>Exclude</v>
      </c>
      <c r="D517" s="425"/>
      <c r="E517" s="39"/>
      <c r="F517" s="10"/>
      <c r="G517" s="21"/>
      <c r="H517" s="12"/>
      <c r="I517" s="13"/>
      <c r="J517" s="16"/>
      <c r="K517" s="304"/>
      <c r="L517" s="298"/>
      <c r="M517" s="298"/>
      <c r="N517" s="16"/>
      <c r="O517" s="114"/>
      <c r="Q517" s="281"/>
      <c r="R517" s="281"/>
      <c r="S517" s="281"/>
      <c r="T517" s="281"/>
      <c r="U517" s="281"/>
    </row>
    <row r="518" spans="1:21" ht="12" customHeight="1" x14ac:dyDescent="0.3">
      <c r="A518" s="347" t="str">
        <f t="shared" si="127"/>
        <v>Exclude</v>
      </c>
      <c r="D518" s="425"/>
      <c r="E518" s="39"/>
      <c r="F518" s="10"/>
      <c r="G518" s="21"/>
      <c r="H518" s="12"/>
      <c r="I518" s="13"/>
      <c r="J518" s="16"/>
      <c r="K518" s="301"/>
      <c r="L518" s="298"/>
      <c r="M518" s="298"/>
      <c r="N518" s="16"/>
      <c r="O518" s="114"/>
      <c r="Q518" s="281"/>
      <c r="R518" s="281"/>
      <c r="S518" s="281"/>
      <c r="T518" s="281"/>
      <c r="U518" s="281"/>
    </row>
    <row r="519" spans="1:21" ht="15.75" customHeight="1" x14ac:dyDescent="0.3">
      <c r="A519" s="347" t="str">
        <f>IF(J519=0,"Exclude","x")</f>
        <v>Exclude</v>
      </c>
      <c r="D519" s="424" t="s">
        <v>816</v>
      </c>
      <c r="E519" s="69" t="s">
        <v>633</v>
      </c>
      <c r="F519" s="56"/>
      <c r="G519" s="57"/>
      <c r="H519" s="58"/>
      <c r="I519" s="59"/>
      <c r="J519" s="60">
        <f>SUBTOTAL(9,J520:J538)</f>
        <v>0</v>
      </c>
      <c r="K519" s="59">
        <f>IFERROR(J519/$G$6,0)</f>
        <v>0</v>
      </c>
      <c r="L519" s="309"/>
      <c r="M519" s="60"/>
      <c r="N519" s="59">
        <f>SUM(M520:M538)</f>
        <v>0</v>
      </c>
      <c r="O519" s="435">
        <f>IFERROR(N519/$G$6,0)</f>
        <v>0</v>
      </c>
      <c r="Q519" s="281"/>
      <c r="R519" s="281"/>
      <c r="S519" s="281"/>
      <c r="T519" s="281"/>
      <c r="U519" s="281"/>
    </row>
    <row r="520" spans="1:21" x14ac:dyDescent="0.3">
      <c r="A520" s="347" t="str">
        <f t="shared" ref="A520:A538" si="130">A519</f>
        <v>Exclude</v>
      </c>
      <c r="D520" s="426" t="s">
        <v>1310</v>
      </c>
      <c r="E520" s="39" t="s">
        <v>1203</v>
      </c>
      <c r="F520" s="24"/>
      <c r="G520" s="292"/>
      <c r="H520" s="25"/>
      <c r="I520" s="293"/>
      <c r="J520" s="293"/>
      <c r="K520" s="301"/>
      <c r="L520" s="300">
        <v>0</v>
      </c>
      <c r="M520" s="301">
        <f>L520</f>
        <v>0</v>
      </c>
      <c r="N520" s="293"/>
      <c r="O520" s="294"/>
      <c r="Q520" s="282"/>
      <c r="R520" s="281"/>
      <c r="S520" s="283"/>
      <c r="T520" s="283"/>
      <c r="U520" s="283"/>
    </row>
    <row r="521" spans="1:21" ht="12" customHeight="1" x14ac:dyDescent="0.3">
      <c r="A521" s="347" t="str">
        <f t="shared" si="130"/>
        <v>Exclude</v>
      </c>
      <c r="D521" s="425" t="s">
        <v>1310</v>
      </c>
      <c r="E521" s="44" t="s">
        <v>200</v>
      </c>
      <c r="F521" s="10"/>
      <c r="G521" s="21"/>
      <c r="H521" s="19" t="s">
        <v>3</v>
      </c>
      <c r="I521" s="13">
        <v>350</v>
      </c>
      <c r="J521" s="16">
        <f>(G521*I521)</f>
        <v>0</v>
      </c>
      <c r="K521" s="304"/>
      <c r="L521" s="298"/>
      <c r="M521" s="298">
        <f t="shared" ref="M521:M534" si="131">IF(K521="x","Included in Sub Bid",J521)</f>
        <v>0</v>
      </c>
      <c r="N521" s="16"/>
      <c r="O521" s="104"/>
      <c r="Q521" s="281"/>
      <c r="R521" s="281"/>
      <c r="S521" s="281"/>
      <c r="T521" s="281"/>
      <c r="U521" s="281"/>
    </row>
    <row r="522" spans="1:21" ht="12.75" customHeight="1" x14ac:dyDescent="0.3">
      <c r="A522" s="347" t="str">
        <f t="shared" si="130"/>
        <v>Exclude</v>
      </c>
      <c r="D522" s="425" t="s">
        <v>1310</v>
      </c>
      <c r="E522" s="44" t="s">
        <v>201</v>
      </c>
      <c r="F522" s="10"/>
      <c r="G522" s="21"/>
      <c r="H522" s="19" t="s">
        <v>3</v>
      </c>
      <c r="I522" s="13">
        <v>250</v>
      </c>
      <c r="J522" s="16">
        <f t="shared" ref="J522:J534" si="132">(G522*I522)</f>
        <v>0</v>
      </c>
      <c r="K522" s="304"/>
      <c r="L522" s="298"/>
      <c r="M522" s="298">
        <f t="shared" si="131"/>
        <v>0</v>
      </c>
      <c r="N522" s="16"/>
      <c r="O522" s="104"/>
      <c r="Q522" s="281"/>
      <c r="R522" s="281"/>
      <c r="S522" s="281"/>
      <c r="T522" s="281"/>
      <c r="U522" s="281"/>
    </row>
    <row r="523" spans="1:21" ht="12.75" customHeight="1" x14ac:dyDescent="0.3">
      <c r="A523" s="347" t="str">
        <f t="shared" si="130"/>
        <v>Exclude</v>
      </c>
      <c r="D523" s="425" t="s">
        <v>1310</v>
      </c>
      <c r="E523" s="44" t="s">
        <v>770</v>
      </c>
      <c r="F523" s="10"/>
      <c r="G523" s="21"/>
      <c r="H523" s="19" t="s">
        <v>3</v>
      </c>
      <c r="I523" s="13">
        <v>550</v>
      </c>
      <c r="J523" s="16">
        <f t="shared" ref="J523" si="133">(G523*I523)</f>
        <v>0</v>
      </c>
      <c r="K523" s="304"/>
      <c r="L523" s="298"/>
      <c r="M523" s="298">
        <f t="shared" si="131"/>
        <v>0</v>
      </c>
      <c r="N523" s="16"/>
      <c r="O523" s="104"/>
      <c r="Q523" s="281"/>
      <c r="R523" s="281"/>
      <c r="S523" s="281"/>
      <c r="T523" s="281"/>
      <c r="U523" s="281"/>
    </row>
    <row r="524" spans="1:21" ht="12.75" customHeight="1" x14ac:dyDescent="0.3">
      <c r="A524" s="347" t="str">
        <f t="shared" si="130"/>
        <v>Exclude</v>
      </c>
      <c r="D524" s="425" t="s">
        <v>1310</v>
      </c>
      <c r="E524" s="44" t="s">
        <v>771</v>
      </c>
      <c r="F524" s="10"/>
      <c r="G524" s="21"/>
      <c r="H524" s="19" t="s">
        <v>1</v>
      </c>
      <c r="I524" s="13">
        <v>100</v>
      </c>
      <c r="J524" s="16">
        <f t="shared" si="132"/>
        <v>0</v>
      </c>
      <c r="K524" s="304"/>
      <c r="L524" s="298"/>
      <c r="M524" s="298">
        <f t="shared" si="131"/>
        <v>0</v>
      </c>
      <c r="N524" s="16"/>
      <c r="O524" s="104"/>
      <c r="Q524" s="281"/>
      <c r="R524" s="281"/>
      <c r="S524" s="281"/>
      <c r="T524" s="281"/>
      <c r="U524" s="281"/>
    </row>
    <row r="525" spans="1:21" ht="12.75" customHeight="1" x14ac:dyDescent="0.3">
      <c r="A525" s="347" t="str">
        <f t="shared" si="130"/>
        <v>Exclude</v>
      </c>
      <c r="D525" s="425" t="s">
        <v>1310</v>
      </c>
      <c r="E525" s="44" t="s">
        <v>1125</v>
      </c>
      <c r="F525" s="10"/>
      <c r="G525" s="21"/>
      <c r="H525" s="19" t="s">
        <v>1</v>
      </c>
      <c r="I525" s="13">
        <v>180</v>
      </c>
      <c r="J525" s="16">
        <f t="shared" ref="J525" si="134">(G525*I525)</f>
        <v>0</v>
      </c>
      <c r="K525" s="304"/>
      <c r="L525" s="298"/>
      <c r="M525" s="298">
        <f t="shared" si="131"/>
        <v>0</v>
      </c>
      <c r="N525" s="16"/>
      <c r="O525" s="104"/>
      <c r="Q525" s="281"/>
      <c r="R525" s="281"/>
      <c r="S525" s="281"/>
      <c r="T525" s="281"/>
      <c r="U525" s="281"/>
    </row>
    <row r="526" spans="1:21" ht="12.75" customHeight="1" x14ac:dyDescent="0.3">
      <c r="A526" s="347" t="str">
        <f t="shared" si="130"/>
        <v>Exclude</v>
      </c>
      <c r="D526" s="425" t="s">
        <v>1310</v>
      </c>
      <c r="E526" s="44" t="s">
        <v>1126</v>
      </c>
      <c r="F526" s="10"/>
      <c r="G526" s="21"/>
      <c r="H526" s="12" t="s">
        <v>1</v>
      </c>
      <c r="I526" s="13">
        <v>125</v>
      </c>
      <c r="J526" s="16">
        <f t="shared" si="132"/>
        <v>0</v>
      </c>
      <c r="K526" s="304"/>
      <c r="L526" s="298"/>
      <c r="M526" s="298">
        <f t="shared" si="131"/>
        <v>0</v>
      </c>
      <c r="N526" s="16"/>
      <c r="O526" s="114"/>
      <c r="Q526" s="281"/>
      <c r="R526" s="281"/>
      <c r="S526" s="281"/>
      <c r="T526" s="281"/>
      <c r="U526" s="281"/>
    </row>
    <row r="527" spans="1:21" ht="12.75" customHeight="1" x14ac:dyDescent="0.3">
      <c r="A527" s="347" t="str">
        <f t="shared" si="130"/>
        <v>Exclude</v>
      </c>
      <c r="D527" s="425" t="s">
        <v>1310</v>
      </c>
      <c r="E527" s="44" t="s">
        <v>772</v>
      </c>
      <c r="F527" s="10"/>
      <c r="G527" s="21"/>
      <c r="H527" s="12" t="s">
        <v>1</v>
      </c>
      <c r="I527" s="13">
        <v>60</v>
      </c>
      <c r="J527" s="16">
        <f t="shared" ref="J527" si="135">(G527*I527)</f>
        <v>0</v>
      </c>
      <c r="K527" s="304"/>
      <c r="L527" s="298"/>
      <c r="M527" s="298">
        <f t="shared" si="131"/>
        <v>0</v>
      </c>
      <c r="N527" s="16"/>
      <c r="O527" s="114"/>
      <c r="Q527" s="281"/>
      <c r="R527" s="281"/>
      <c r="S527" s="281"/>
      <c r="T527" s="281"/>
      <c r="U527" s="281"/>
    </row>
    <row r="528" spans="1:21" ht="12.75" customHeight="1" x14ac:dyDescent="0.3">
      <c r="A528" s="347" t="str">
        <f t="shared" si="130"/>
        <v>Exclude</v>
      </c>
      <c r="D528" s="425" t="s">
        <v>1310</v>
      </c>
      <c r="E528" s="44" t="s">
        <v>202</v>
      </c>
      <c r="F528" s="10"/>
      <c r="G528" s="21"/>
      <c r="H528" s="12" t="s">
        <v>3</v>
      </c>
      <c r="I528" s="13"/>
      <c r="J528" s="16">
        <f t="shared" si="132"/>
        <v>0</v>
      </c>
      <c r="K528" s="304"/>
      <c r="L528" s="298"/>
      <c r="M528" s="298">
        <f t="shared" si="131"/>
        <v>0</v>
      </c>
      <c r="N528" s="16"/>
      <c r="O528" s="114"/>
      <c r="Q528" s="281"/>
      <c r="R528" s="281"/>
      <c r="S528" s="281"/>
      <c r="T528" s="281"/>
      <c r="U528" s="281"/>
    </row>
    <row r="529" spans="1:21" ht="12.75" customHeight="1" x14ac:dyDescent="0.3">
      <c r="A529" s="347" t="str">
        <f t="shared" si="130"/>
        <v>Exclude</v>
      </c>
      <c r="D529" s="425" t="s">
        <v>1310</v>
      </c>
      <c r="E529" s="44" t="s">
        <v>203</v>
      </c>
      <c r="F529" s="10"/>
      <c r="G529" s="21"/>
      <c r="H529" s="12" t="s">
        <v>3</v>
      </c>
      <c r="I529" s="13"/>
      <c r="J529" s="16">
        <f t="shared" si="132"/>
        <v>0</v>
      </c>
      <c r="K529" s="304"/>
      <c r="L529" s="298"/>
      <c r="M529" s="298">
        <f t="shared" si="131"/>
        <v>0</v>
      </c>
      <c r="N529" s="16"/>
      <c r="O529" s="114"/>
      <c r="Q529" s="281"/>
      <c r="R529" s="281"/>
      <c r="S529" s="281"/>
      <c r="T529" s="281"/>
      <c r="U529" s="281"/>
    </row>
    <row r="530" spans="1:21" ht="12.75" customHeight="1" x14ac:dyDescent="0.3">
      <c r="A530" s="347" t="str">
        <f t="shared" si="130"/>
        <v>Exclude</v>
      </c>
      <c r="D530" s="425" t="s">
        <v>1310</v>
      </c>
      <c r="E530" s="44" t="s">
        <v>204</v>
      </c>
      <c r="F530" s="10"/>
      <c r="G530" s="21"/>
      <c r="H530" s="12" t="s">
        <v>3</v>
      </c>
      <c r="I530" s="13"/>
      <c r="J530" s="16">
        <f t="shared" si="132"/>
        <v>0</v>
      </c>
      <c r="K530" s="304"/>
      <c r="L530" s="298"/>
      <c r="M530" s="298">
        <f t="shared" si="131"/>
        <v>0</v>
      </c>
      <c r="N530" s="16"/>
      <c r="O530" s="114"/>
      <c r="Q530" s="281"/>
      <c r="R530" s="281"/>
      <c r="S530" s="281"/>
      <c r="T530" s="281"/>
      <c r="U530" s="281"/>
    </row>
    <row r="531" spans="1:21" ht="12.75" customHeight="1" x14ac:dyDescent="0.3">
      <c r="A531" s="347" t="str">
        <f t="shared" si="130"/>
        <v>Exclude</v>
      </c>
      <c r="D531" s="425" t="s">
        <v>1310</v>
      </c>
      <c r="E531" s="44" t="s">
        <v>205</v>
      </c>
      <c r="F531" s="10"/>
      <c r="G531" s="21"/>
      <c r="H531" s="12" t="s">
        <v>3</v>
      </c>
      <c r="I531" s="13"/>
      <c r="J531" s="16">
        <f t="shared" si="132"/>
        <v>0</v>
      </c>
      <c r="K531" s="304"/>
      <c r="L531" s="298"/>
      <c r="M531" s="298">
        <f t="shared" si="131"/>
        <v>0</v>
      </c>
      <c r="N531" s="16"/>
      <c r="O531" s="114"/>
      <c r="Q531" s="281"/>
      <c r="R531" s="281"/>
      <c r="S531" s="281"/>
      <c r="T531" s="281"/>
      <c r="U531" s="281"/>
    </row>
    <row r="532" spans="1:21" ht="12.75" customHeight="1" x14ac:dyDescent="0.3">
      <c r="A532" s="347" t="str">
        <f t="shared" si="130"/>
        <v>Exclude</v>
      </c>
      <c r="D532" s="425" t="s">
        <v>1310</v>
      </c>
      <c r="E532" s="44" t="s">
        <v>206</v>
      </c>
      <c r="F532" s="10"/>
      <c r="G532" s="21"/>
      <c r="H532" s="12" t="s">
        <v>3</v>
      </c>
      <c r="I532" s="13"/>
      <c r="J532" s="16">
        <f t="shared" si="132"/>
        <v>0</v>
      </c>
      <c r="K532" s="304"/>
      <c r="L532" s="298"/>
      <c r="M532" s="298">
        <f t="shared" si="131"/>
        <v>0</v>
      </c>
      <c r="N532" s="16"/>
      <c r="O532" s="114"/>
      <c r="Q532" s="281"/>
      <c r="R532" s="281"/>
      <c r="S532" s="281"/>
      <c r="T532" s="281"/>
      <c r="U532" s="281"/>
    </row>
    <row r="533" spans="1:21" ht="12.75" customHeight="1" x14ac:dyDescent="0.3">
      <c r="A533" s="347" t="str">
        <f t="shared" si="130"/>
        <v>Exclude</v>
      </c>
      <c r="D533" s="425" t="s">
        <v>1310</v>
      </c>
      <c r="E533" s="44" t="s">
        <v>207</v>
      </c>
      <c r="F533" s="10"/>
      <c r="G533" s="21"/>
      <c r="H533" s="12" t="s">
        <v>3</v>
      </c>
      <c r="I533" s="13"/>
      <c r="J533" s="16">
        <f t="shared" si="132"/>
        <v>0</v>
      </c>
      <c r="K533" s="304"/>
      <c r="L533" s="298"/>
      <c r="M533" s="298">
        <f t="shared" si="131"/>
        <v>0</v>
      </c>
      <c r="N533" s="16"/>
      <c r="O533" s="114"/>
      <c r="Q533" s="281"/>
      <c r="R533" s="281"/>
      <c r="S533" s="281"/>
      <c r="T533" s="281"/>
      <c r="U533" s="281"/>
    </row>
    <row r="534" spans="1:21" ht="12.75" customHeight="1" x14ac:dyDescent="0.3">
      <c r="A534" s="347" t="str">
        <f t="shared" si="130"/>
        <v>Exclude</v>
      </c>
      <c r="D534" s="425" t="s">
        <v>1310</v>
      </c>
      <c r="E534" s="44" t="s">
        <v>208</v>
      </c>
      <c r="F534" s="10"/>
      <c r="G534" s="21"/>
      <c r="H534" s="12" t="s">
        <v>0</v>
      </c>
      <c r="I534" s="13"/>
      <c r="J534" s="16">
        <f t="shared" si="132"/>
        <v>0</v>
      </c>
      <c r="K534" s="304"/>
      <c r="L534" s="298"/>
      <c r="M534" s="298">
        <f t="shared" si="131"/>
        <v>0</v>
      </c>
      <c r="N534" s="16"/>
      <c r="O534" s="114"/>
      <c r="Q534" s="281"/>
      <c r="R534" s="281"/>
      <c r="S534" s="281"/>
      <c r="T534" s="281"/>
      <c r="U534" s="281"/>
    </row>
    <row r="535" spans="1:21" x14ac:dyDescent="0.3">
      <c r="A535" s="347" t="str">
        <f t="shared" si="130"/>
        <v>Exclude</v>
      </c>
      <c r="D535" s="427" t="s">
        <v>1310</v>
      </c>
      <c r="E535" s="199" t="s">
        <v>943</v>
      </c>
      <c r="F535" s="200"/>
      <c r="G535" s="201"/>
      <c r="H535" s="202" t="s">
        <v>0</v>
      </c>
      <c r="I535" s="203"/>
      <c r="J535" s="203"/>
      <c r="K535" s="304"/>
      <c r="L535" s="302"/>
      <c r="M535" s="302">
        <f>IF(K535="x","Included in Sub Bid",G535*I535)</f>
        <v>0</v>
      </c>
      <c r="N535" s="16"/>
      <c r="O535" s="104"/>
      <c r="Q535" s="281"/>
      <c r="R535" s="281"/>
      <c r="S535" s="281"/>
      <c r="T535" s="281"/>
      <c r="U535" s="281"/>
    </row>
    <row r="536" spans="1:21" x14ac:dyDescent="0.3">
      <c r="A536" s="347" t="str">
        <f t="shared" si="130"/>
        <v>Exclude</v>
      </c>
      <c r="D536" s="427" t="s">
        <v>1310</v>
      </c>
      <c r="E536" s="199" t="s">
        <v>944</v>
      </c>
      <c r="F536" s="200"/>
      <c r="G536" s="201"/>
      <c r="H536" s="202" t="s">
        <v>0</v>
      </c>
      <c r="I536" s="203"/>
      <c r="J536" s="203"/>
      <c r="K536" s="304"/>
      <c r="L536" s="302"/>
      <c r="M536" s="302">
        <f>IF(K536="x","Included in Sub Bid",G536*I536)</f>
        <v>0</v>
      </c>
      <c r="N536" s="16"/>
      <c r="O536" s="104"/>
      <c r="Q536" s="281"/>
      <c r="R536" s="281"/>
      <c r="S536" s="281"/>
      <c r="T536" s="281"/>
      <c r="U536" s="281"/>
    </row>
    <row r="537" spans="1:21" ht="12.75" customHeight="1" x14ac:dyDescent="0.3">
      <c r="A537" s="347" t="str">
        <f t="shared" si="130"/>
        <v>Exclude</v>
      </c>
      <c r="D537" s="425"/>
      <c r="E537" s="11"/>
      <c r="F537" s="10"/>
      <c r="G537" s="21"/>
      <c r="H537" s="12"/>
      <c r="I537" s="13"/>
      <c r="J537" s="16"/>
      <c r="K537" s="304"/>
      <c r="L537" s="298"/>
      <c r="M537" s="298"/>
      <c r="N537" s="16"/>
      <c r="O537" s="104"/>
      <c r="Q537" s="281"/>
      <c r="R537" s="281"/>
      <c r="S537" s="281"/>
      <c r="T537" s="281"/>
      <c r="U537" s="281"/>
    </row>
    <row r="538" spans="1:21" ht="12" customHeight="1" x14ac:dyDescent="0.3">
      <c r="A538" s="347" t="str">
        <f t="shared" si="130"/>
        <v>Exclude</v>
      </c>
      <c r="D538" s="425"/>
      <c r="E538" s="39"/>
      <c r="F538" s="10"/>
      <c r="G538" s="21"/>
      <c r="H538" s="12"/>
      <c r="I538" s="13"/>
      <c r="J538" s="16"/>
      <c r="K538" s="301"/>
      <c r="L538" s="298"/>
      <c r="M538" s="298"/>
      <c r="N538" s="16"/>
      <c r="O538" s="114"/>
      <c r="Q538" s="281"/>
      <c r="R538" s="281"/>
      <c r="S538" s="281"/>
      <c r="T538" s="281"/>
      <c r="U538" s="281"/>
    </row>
    <row r="539" spans="1:21" ht="15.5" x14ac:dyDescent="0.35">
      <c r="A539" s="347" t="str">
        <f>IF(J539=0,"Exclude","x")</f>
        <v>Exclude</v>
      </c>
      <c r="D539" s="431"/>
      <c r="E539" s="68" t="s">
        <v>105</v>
      </c>
      <c r="F539" s="63"/>
      <c r="G539" s="64"/>
      <c r="H539" s="65"/>
      <c r="I539" s="66"/>
      <c r="J539" s="66">
        <f>SUBTOTAL(9,J540:J622)</f>
        <v>0</v>
      </c>
      <c r="K539" s="438">
        <f>IFERROR(J539/$G$6,0)</f>
        <v>0</v>
      </c>
      <c r="L539" s="311"/>
      <c r="M539" s="66"/>
      <c r="N539" s="66">
        <f>N540+N559+N570+N582+N607</f>
        <v>0</v>
      </c>
      <c r="O539" s="317">
        <f>IFERROR(N539/$G$6,0)</f>
        <v>0</v>
      </c>
      <c r="Q539" s="281"/>
      <c r="R539" s="281"/>
      <c r="S539" s="281"/>
      <c r="T539" s="281"/>
      <c r="U539" s="281"/>
    </row>
    <row r="540" spans="1:21" ht="15.75" customHeight="1" x14ac:dyDescent="0.3">
      <c r="A540" s="347" t="str">
        <f>IF(J540=0,"Exclude","x")</f>
        <v>Exclude</v>
      </c>
      <c r="D540" s="424" t="s">
        <v>815</v>
      </c>
      <c r="E540" s="69" t="s">
        <v>634</v>
      </c>
      <c r="F540" s="56"/>
      <c r="G540" s="57"/>
      <c r="H540" s="58"/>
      <c r="I540" s="59"/>
      <c r="J540" s="60">
        <f>SUBTOTAL(9,J541:J558)</f>
        <v>0</v>
      </c>
      <c r="K540" s="59">
        <f>IFERROR(J540/$G$6,0)</f>
        <v>0</v>
      </c>
      <c r="L540" s="309"/>
      <c r="M540" s="60"/>
      <c r="N540" s="59">
        <f>SUM(M541:M558)</f>
        <v>0</v>
      </c>
      <c r="O540" s="435">
        <f>IFERROR(N540/$G$6,0)</f>
        <v>0</v>
      </c>
      <c r="Q540" s="281"/>
      <c r="R540" s="281"/>
      <c r="S540" s="281"/>
      <c r="T540" s="281"/>
      <c r="U540" s="281"/>
    </row>
    <row r="541" spans="1:21" x14ac:dyDescent="0.3">
      <c r="A541" s="347" t="str">
        <f t="shared" ref="A541:A558" si="136">A540</f>
        <v>Exclude</v>
      </c>
      <c r="D541" s="426" t="s">
        <v>1311</v>
      </c>
      <c r="E541" s="39" t="s">
        <v>1203</v>
      </c>
      <c r="F541" s="24"/>
      <c r="G541" s="292"/>
      <c r="H541" s="25"/>
      <c r="I541" s="293"/>
      <c r="J541" s="293"/>
      <c r="K541" s="301"/>
      <c r="L541" s="300">
        <v>0</v>
      </c>
      <c r="M541" s="301">
        <f>L541</f>
        <v>0</v>
      </c>
      <c r="N541" s="293"/>
      <c r="O541" s="294"/>
      <c r="Q541" s="282"/>
      <c r="R541" s="281"/>
      <c r="S541" s="283"/>
      <c r="T541" s="283"/>
      <c r="U541" s="283"/>
    </row>
    <row r="542" spans="1:21" ht="12.75" customHeight="1" x14ac:dyDescent="0.3">
      <c r="A542" s="347" t="str">
        <f t="shared" si="136"/>
        <v>Exclude</v>
      </c>
      <c r="D542" s="425" t="s">
        <v>1311</v>
      </c>
      <c r="E542" s="36" t="s">
        <v>558</v>
      </c>
      <c r="F542" s="10"/>
      <c r="G542" s="21"/>
      <c r="H542" s="12" t="s">
        <v>1</v>
      </c>
      <c r="I542" s="13">
        <v>4</v>
      </c>
      <c r="J542" s="16">
        <f>(I542*G542)</f>
        <v>0</v>
      </c>
      <c r="K542" s="304"/>
      <c r="L542" s="298"/>
      <c r="M542" s="298">
        <f t="shared" ref="M542:M554" si="137">IF(K542="x","Included in Sub Bid",J542)</f>
        <v>0</v>
      </c>
      <c r="N542" s="16"/>
      <c r="O542" s="104"/>
      <c r="Q542" s="281"/>
      <c r="R542" s="281"/>
      <c r="S542" s="281"/>
      <c r="T542" s="281"/>
      <c r="U542" s="281"/>
    </row>
    <row r="543" spans="1:21" ht="12.75" customHeight="1" x14ac:dyDescent="0.3">
      <c r="A543" s="347" t="str">
        <f t="shared" si="136"/>
        <v>Exclude</v>
      </c>
      <c r="D543" s="425" t="s">
        <v>1311</v>
      </c>
      <c r="E543" s="36" t="s">
        <v>1401</v>
      </c>
      <c r="F543" s="10"/>
      <c r="G543" s="21"/>
      <c r="H543" s="12" t="s">
        <v>1</v>
      </c>
      <c r="I543" s="13">
        <v>1.75</v>
      </c>
      <c r="J543" s="16">
        <f t="shared" ref="J543" si="138">(I543*G543)</f>
        <v>0</v>
      </c>
      <c r="K543" s="304"/>
      <c r="L543" s="298"/>
      <c r="M543" s="298">
        <f t="shared" si="137"/>
        <v>0</v>
      </c>
      <c r="N543" s="16"/>
      <c r="O543" s="104"/>
      <c r="Q543" s="281"/>
      <c r="R543" s="281"/>
      <c r="S543" s="281"/>
      <c r="T543" s="281"/>
      <c r="U543" s="281"/>
    </row>
    <row r="544" spans="1:21" ht="12.75" customHeight="1" x14ac:dyDescent="0.3">
      <c r="A544" s="347" t="str">
        <f t="shared" si="136"/>
        <v>Exclude</v>
      </c>
      <c r="D544" s="425" t="s">
        <v>1311</v>
      </c>
      <c r="E544" s="36" t="s">
        <v>1127</v>
      </c>
      <c r="F544" s="10"/>
      <c r="G544" s="21"/>
      <c r="H544" s="12" t="s">
        <v>1</v>
      </c>
      <c r="I544" s="13">
        <v>2.5</v>
      </c>
      <c r="J544" s="16">
        <f>(I544*G544)</f>
        <v>0</v>
      </c>
      <c r="K544" s="304"/>
      <c r="L544" s="298"/>
      <c r="M544" s="298">
        <f t="shared" si="137"/>
        <v>0</v>
      </c>
      <c r="N544" s="16"/>
      <c r="O544" s="104"/>
      <c r="Q544" s="281"/>
      <c r="R544" s="281"/>
      <c r="S544" s="281"/>
      <c r="T544" s="281"/>
      <c r="U544" s="281"/>
    </row>
    <row r="545" spans="1:21" ht="12.75" customHeight="1" x14ac:dyDescent="0.3">
      <c r="A545" s="347" t="str">
        <f t="shared" si="136"/>
        <v>Exclude</v>
      </c>
      <c r="D545" s="425" t="s">
        <v>1311</v>
      </c>
      <c r="E545" s="36" t="s">
        <v>95</v>
      </c>
      <c r="F545" s="10" t="s">
        <v>1131</v>
      </c>
      <c r="G545" s="21"/>
      <c r="H545" s="12" t="s">
        <v>1</v>
      </c>
      <c r="I545" s="13">
        <v>1</v>
      </c>
      <c r="J545" s="16">
        <f>(I545*G545)</f>
        <v>0</v>
      </c>
      <c r="K545" s="304"/>
      <c r="L545" s="298"/>
      <c r="M545" s="298">
        <f t="shared" si="137"/>
        <v>0</v>
      </c>
      <c r="N545" s="16"/>
      <c r="O545" s="104"/>
      <c r="Q545" s="281"/>
      <c r="R545" s="281"/>
      <c r="S545" s="281"/>
      <c r="T545" s="281"/>
      <c r="U545" s="281"/>
    </row>
    <row r="546" spans="1:21" ht="12.75" customHeight="1" x14ac:dyDescent="0.3">
      <c r="A546" s="347" t="str">
        <f t="shared" si="136"/>
        <v>Exclude</v>
      </c>
      <c r="D546" s="425" t="s">
        <v>1311</v>
      </c>
      <c r="E546" s="36" t="s">
        <v>95</v>
      </c>
      <c r="F546" s="10" t="s">
        <v>1132</v>
      </c>
      <c r="G546" s="21"/>
      <c r="H546" s="12" t="s">
        <v>3</v>
      </c>
      <c r="I546" s="13">
        <v>5</v>
      </c>
      <c r="J546" s="16">
        <f t="shared" ref="J546" si="139">(I546*G546)</f>
        <v>0</v>
      </c>
      <c r="K546" s="304"/>
      <c r="L546" s="298"/>
      <c r="M546" s="298">
        <f t="shared" si="137"/>
        <v>0</v>
      </c>
      <c r="N546" s="16"/>
      <c r="O546" s="104"/>
      <c r="Q546" s="281"/>
      <c r="R546" s="281"/>
      <c r="S546" s="281"/>
      <c r="T546" s="281"/>
      <c r="U546" s="281"/>
    </row>
    <row r="547" spans="1:21" ht="12.75" customHeight="1" x14ac:dyDescent="0.3">
      <c r="A547" s="347" t="str">
        <f t="shared" si="136"/>
        <v>Exclude</v>
      </c>
      <c r="D547" s="425" t="s">
        <v>1311</v>
      </c>
      <c r="E547" s="44" t="s">
        <v>1133</v>
      </c>
      <c r="F547" s="10"/>
      <c r="G547" s="21"/>
      <c r="H547" s="12" t="s">
        <v>1</v>
      </c>
      <c r="I547" s="13">
        <v>0.8</v>
      </c>
      <c r="J547" s="16">
        <f>(I547*G547)</f>
        <v>0</v>
      </c>
      <c r="K547" s="304"/>
      <c r="L547" s="298"/>
      <c r="M547" s="298">
        <f t="shared" si="137"/>
        <v>0</v>
      </c>
      <c r="N547" s="16"/>
      <c r="O547" s="104"/>
      <c r="Q547" s="281"/>
      <c r="R547" s="281"/>
      <c r="S547" s="281"/>
      <c r="T547" s="281"/>
      <c r="U547" s="281"/>
    </row>
    <row r="548" spans="1:21" ht="12.75" customHeight="1" x14ac:dyDescent="0.3">
      <c r="A548" s="347" t="str">
        <f t="shared" si="136"/>
        <v>Exclude</v>
      </c>
      <c r="D548" s="425" t="s">
        <v>1311</v>
      </c>
      <c r="E548" s="44" t="s">
        <v>93</v>
      </c>
      <c r="F548" s="10"/>
      <c r="G548" s="21"/>
      <c r="H548" s="12" t="s">
        <v>1</v>
      </c>
      <c r="I548" s="13"/>
      <c r="J548" s="16">
        <f>(I548*G548)</f>
        <v>0</v>
      </c>
      <c r="K548" s="304"/>
      <c r="L548" s="298"/>
      <c r="M548" s="298">
        <f t="shared" si="137"/>
        <v>0</v>
      </c>
      <c r="N548" s="16"/>
      <c r="O548" s="104"/>
      <c r="Q548" s="281"/>
      <c r="R548" s="281"/>
      <c r="S548" s="281"/>
      <c r="T548" s="281"/>
      <c r="U548" s="281"/>
    </row>
    <row r="549" spans="1:21" ht="12.75" customHeight="1" x14ac:dyDescent="0.3">
      <c r="A549" s="347" t="str">
        <f t="shared" si="136"/>
        <v>Exclude</v>
      </c>
      <c r="D549" s="425" t="s">
        <v>1311</v>
      </c>
      <c r="E549" s="44" t="s">
        <v>526</v>
      </c>
      <c r="F549" s="10"/>
      <c r="G549" s="21"/>
      <c r="H549" s="12" t="s">
        <v>2</v>
      </c>
      <c r="I549" s="13"/>
      <c r="J549" s="16">
        <f>(I549*G549)</f>
        <v>0</v>
      </c>
      <c r="K549" s="304"/>
      <c r="L549" s="298"/>
      <c r="M549" s="298">
        <f t="shared" si="137"/>
        <v>0</v>
      </c>
      <c r="N549" s="16"/>
      <c r="O549" s="104"/>
      <c r="Q549" s="281"/>
      <c r="R549" s="281"/>
      <c r="S549" s="281"/>
      <c r="T549" s="281"/>
      <c r="U549" s="281"/>
    </row>
    <row r="550" spans="1:21" ht="12.75" customHeight="1" x14ac:dyDescent="0.3">
      <c r="A550" s="347" t="str">
        <f t="shared" si="136"/>
        <v>Exclude</v>
      </c>
      <c r="D550" s="425" t="s">
        <v>1311</v>
      </c>
      <c r="E550" s="44" t="s">
        <v>94</v>
      </c>
      <c r="F550" s="10"/>
      <c r="G550" s="21"/>
      <c r="H550" s="12" t="s">
        <v>1</v>
      </c>
      <c r="I550" s="13"/>
      <c r="J550" s="16">
        <f>(I550*G550)</f>
        <v>0</v>
      </c>
      <c r="K550" s="304"/>
      <c r="L550" s="298"/>
      <c r="M550" s="298">
        <f t="shared" si="137"/>
        <v>0</v>
      </c>
      <c r="N550" s="16"/>
      <c r="O550" s="104"/>
      <c r="Q550" s="281"/>
      <c r="R550" s="281"/>
      <c r="S550" s="281"/>
      <c r="T550" s="281"/>
      <c r="U550" s="281"/>
    </row>
    <row r="551" spans="1:21" ht="12.75" customHeight="1" x14ac:dyDescent="0.3">
      <c r="A551" s="347" t="str">
        <f t="shared" si="136"/>
        <v>Exclude</v>
      </c>
      <c r="D551" s="425" t="s">
        <v>1311</v>
      </c>
      <c r="E551" s="36" t="s">
        <v>479</v>
      </c>
      <c r="F551" s="10"/>
      <c r="G551" s="21"/>
      <c r="H551" s="12" t="s">
        <v>1</v>
      </c>
      <c r="I551" s="13"/>
      <c r="J551" s="16">
        <f t="shared" ref="J551" si="140">(I551*G551)</f>
        <v>0</v>
      </c>
      <c r="K551" s="304"/>
      <c r="L551" s="298"/>
      <c r="M551" s="298">
        <f t="shared" si="137"/>
        <v>0</v>
      </c>
      <c r="N551" s="16"/>
      <c r="O551" s="104"/>
      <c r="Q551" s="281"/>
      <c r="R551" s="281"/>
      <c r="S551" s="281"/>
      <c r="T551" s="281"/>
      <c r="U551" s="281"/>
    </row>
    <row r="552" spans="1:21" ht="12.75" customHeight="1" x14ac:dyDescent="0.3">
      <c r="A552" s="347" t="str">
        <f t="shared" si="136"/>
        <v>Exclude</v>
      </c>
      <c r="D552" s="425" t="s">
        <v>1311</v>
      </c>
      <c r="E552" s="36" t="s">
        <v>1129</v>
      </c>
      <c r="F552" s="10" t="s">
        <v>1130</v>
      </c>
      <c r="G552" s="21"/>
      <c r="H552" s="12" t="s">
        <v>1</v>
      </c>
      <c r="I552" s="13">
        <v>0.45</v>
      </c>
      <c r="J552" s="16">
        <f t="shared" ref="J552:J553" si="141">(I552*G552)</f>
        <v>0</v>
      </c>
      <c r="K552" s="304"/>
      <c r="L552" s="298"/>
      <c r="M552" s="298">
        <f t="shared" si="137"/>
        <v>0</v>
      </c>
      <c r="N552" s="16"/>
      <c r="O552" s="104"/>
      <c r="Q552" s="281"/>
      <c r="R552" s="281"/>
      <c r="S552" s="281"/>
      <c r="T552" s="281"/>
      <c r="U552" s="281"/>
    </row>
    <row r="553" spans="1:21" ht="12.75" customHeight="1" x14ac:dyDescent="0.3">
      <c r="A553" s="347" t="str">
        <f t="shared" si="136"/>
        <v>Exclude</v>
      </c>
      <c r="D553" s="425" t="s">
        <v>1311</v>
      </c>
      <c r="E553" s="36" t="s">
        <v>1128</v>
      </c>
      <c r="F553" s="10" t="s">
        <v>1130</v>
      </c>
      <c r="G553" s="21"/>
      <c r="H553" s="12" t="s">
        <v>1</v>
      </c>
      <c r="I553" s="13">
        <v>0.55000000000000004</v>
      </c>
      <c r="J553" s="16">
        <f t="shared" si="141"/>
        <v>0</v>
      </c>
      <c r="K553" s="304"/>
      <c r="L553" s="298"/>
      <c r="M553" s="298">
        <f t="shared" si="137"/>
        <v>0</v>
      </c>
      <c r="N553" s="16"/>
      <c r="O553" s="104"/>
      <c r="Q553" s="281"/>
      <c r="R553" s="281"/>
      <c r="S553" s="281"/>
      <c r="T553" s="281"/>
      <c r="U553" s="281"/>
    </row>
    <row r="554" spans="1:21" ht="12.75" customHeight="1" x14ac:dyDescent="0.3">
      <c r="A554" s="347" t="str">
        <f t="shared" si="136"/>
        <v>Exclude</v>
      </c>
      <c r="D554" s="425" t="s">
        <v>1311</v>
      </c>
      <c r="E554" s="44" t="s">
        <v>750</v>
      </c>
      <c r="F554" s="10"/>
      <c r="G554" s="21"/>
      <c r="H554" s="19" t="s">
        <v>3</v>
      </c>
      <c r="I554" s="13"/>
      <c r="J554" s="16">
        <f>G554*I554</f>
        <v>0</v>
      </c>
      <c r="K554" s="304"/>
      <c r="L554" s="298"/>
      <c r="M554" s="298">
        <f t="shared" si="137"/>
        <v>0</v>
      </c>
      <c r="N554" s="16"/>
      <c r="O554" s="104"/>
      <c r="Q554" s="281"/>
      <c r="R554" s="281"/>
      <c r="S554" s="281"/>
      <c r="T554" s="281"/>
      <c r="U554" s="281"/>
    </row>
    <row r="555" spans="1:21" x14ac:dyDescent="0.3">
      <c r="A555" s="347" t="str">
        <f t="shared" si="136"/>
        <v>Exclude</v>
      </c>
      <c r="D555" s="427" t="s">
        <v>1311</v>
      </c>
      <c r="E555" s="199" t="s">
        <v>943</v>
      </c>
      <c r="F555" s="200"/>
      <c r="G555" s="201"/>
      <c r="H555" s="202" t="s">
        <v>0</v>
      </c>
      <c r="I555" s="203"/>
      <c r="J555" s="203"/>
      <c r="K555" s="304"/>
      <c r="L555" s="302"/>
      <c r="M555" s="302">
        <f>IF(K555="x","Included in Sub Bid",G555*I555)</f>
        <v>0</v>
      </c>
      <c r="N555" s="16"/>
      <c r="O555" s="104"/>
      <c r="Q555" s="281"/>
      <c r="R555" s="281"/>
      <c r="S555" s="281"/>
      <c r="T555" s="281"/>
      <c r="U555" s="281"/>
    </row>
    <row r="556" spans="1:21" x14ac:dyDescent="0.3">
      <c r="A556" s="347" t="str">
        <f t="shared" si="136"/>
        <v>Exclude</v>
      </c>
      <c r="D556" s="427" t="s">
        <v>1311</v>
      </c>
      <c r="E556" s="199" t="s">
        <v>944</v>
      </c>
      <c r="F556" s="200"/>
      <c r="G556" s="201"/>
      <c r="H556" s="202" t="s">
        <v>0</v>
      </c>
      <c r="I556" s="203"/>
      <c r="J556" s="203"/>
      <c r="K556" s="304"/>
      <c r="L556" s="302"/>
      <c r="M556" s="302">
        <f>IF(K556="x","Included in Sub Bid",G556*I556)</f>
        <v>0</v>
      </c>
      <c r="N556" s="16"/>
      <c r="O556" s="104"/>
      <c r="Q556" s="281"/>
      <c r="R556" s="281"/>
      <c r="S556" s="281"/>
      <c r="T556" s="281"/>
      <c r="U556" s="281"/>
    </row>
    <row r="557" spans="1:21" ht="12.75" customHeight="1" x14ac:dyDescent="0.3">
      <c r="A557" s="347" t="str">
        <f>A554</f>
        <v>Exclude</v>
      </c>
      <c r="D557" s="425"/>
      <c r="E557" s="36"/>
      <c r="F557" s="10"/>
      <c r="G557" s="21"/>
      <c r="H557" s="12"/>
      <c r="I557" s="13"/>
      <c r="J557" s="16"/>
      <c r="K557" s="304"/>
      <c r="L557" s="298"/>
      <c r="M557" s="298"/>
      <c r="N557" s="16"/>
      <c r="O557" s="104"/>
      <c r="Q557" s="281"/>
      <c r="R557" s="281"/>
      <c r="S557" s="281"/>
      <c r="T557" s="281"/>
      <c r="U557" s="281"/>
    </row>
    <row r="558" spans="1:21" ht="12" customHeight="1" x14ac:dyDescent="0.3">
      <c r="A558" s="347" t="str">
        <f t="shared" si="136"/>
        <v>Exclude</v>
      </c>
      <c r="D558" s="425"/>
      <c r="E558" s="39"/>
      <c r="F558" s="10"/>
      <c r="G558" s="21"/>
      <c r="H558" s="12"/>
      <c r="I558" s="13"/>
      <c r="J558" s="16"/>
      <c r="K558" s="301"/>
      <c r="L558" s="298"/>
      <c r="M558" s="298"/>
      <c r="N558" s="16"/>
      <c r="O558" s="114"/>
      <c r="Q558" s="281"/>
      <c r="R558" s="281"/>
      <c r="S558" s="281"/>
      <c r="T558" s="281"/>
      <c r="U558" s="281"/>
    </row>
    <row r="559" spans="1:21" ht="15.5" x14ac:dyDescent="0.3">
      <c r="A559" s="347" t="str">
        <f>IF(J559=0,"Exclude","x")</f>
        <v>Exclude</v>
      </c>
      <c r="D559" s="424" t="s">
        <v>815</v>
      </c>
      <c r="E559" s="69" t="s">
        <v>679</v>
      </c>
      <c r="F559" s="56"/>
      <c r="G559" s="57"/>
      <c r="H559" s="58"/>
      <c r="I559" s="59"/>
      <c r="J559" s="60">
        <f>SUBTOTAL(9,J560:J569)</f>
        <v>0</v>
      </c>
      <c r="K559" s="59">
        <f>IFERROR(J559/$G$6,0)</f>
        <v>0</v>
      </c>
      <c r="L559" s="309"/>
      <c r="M559" s="60"/>
      <c r="N559" s="59">
        <f>SUM(M560:M569)</f>
        <v>0</v>
      </c>
      <c r="O559" s="435">
        <f>IFERROR(N559/$G$6,0)</f>
        <v>0</v>
      </c>
      <c r="Q559" s="281"/>
      <c r="R559" s="281"/>
      <c r="S559" s="281"/>
      <c r="T559" s="281"/>
      <c r="U559" s="281"/>
    </row>
    <row r="560" spans="1:21" x14ac:dyDescent="0.3">
      <c r="A560" s="347" t="str">
        <f t="shared" ref="A560:A569" si="142">A559</f>
        <v>Exclude</v>
      </c>
      <c r="D560" s="426" t="s">
        <v>1312</v>
      </c>
      <c r="E560" s="39" t="s">
        <v>1203</v>
      </c>
      <c r="F560" s="24"/>
      <c r="G560" s="292"/>
      <c r="H560" s="25"/>
      <c r="I560" s="293"/>
      <c r="J560" s="293"/>
      <c r="K560" s="301"/>
      <c r="L560" s="300">
        <v>0</v>
      </c>
      <c r="M560" s="301">
        <f>L560</f>
        <v>0</v>
      </c>
      <c r="N560" s="293"/>
      <c r="O560" s="294"/>
      <c r="Q560" s="282"/>
      <c r="R560" s="281"/>
      <c r="S560" s="283"/>
      <c r="T560" s="283"/>
      <c r="U560" s="283"/>
    </row>
    <row r="561" spans="1:21" ht="12.75" customHeight="1" x14ac:dyDescent="0.3">
      <c r="A561" s="347" t="str">
        <f t="shared" si="142"/>
        <v>Exclude</v>
      </c>
      <c r="D561" s="425" t="s">
        <v>1312</v>
      </c>
      <c r="E561" s="44" t="s">
        <v>173</v>
      </c>
      <c r="F561" s="10" t="s">
        <v>561</v>
      </c>
      <c r="G561" s="21"/>
      <c r="H561" s="12" t="s">
        <v>3</v>
      </c>
      <c r="I561" s="13"/>
      <c r="J561" s="16">
        <f t="shared" ref="J561:J564" si="143">G561*I561</f>
        <v>0</v>
      </c>
      <c r="K561" s="304"/>
      <c r="L561" s="298"/>
      <c r="M561" s="298">
        <f t="shared" ref="M561:M565" si="144">IF(K561="x","Included in Sub Bid",J561)</f>
        <v>0</v>
      </c>
      <c r="N561" s="16"/>
      <c r="O561" s="104"/>
      <c r="Q561" s="281"/>
      <c r="R561" s="281"/>
      <c r="S561" s="281"/>
      <c r="T561" s="281"/>
      <c r="U561" s="281"/>
    </row>
    <row r="562" spans="1:21" ht="12.75" customHeight="1" x14ac:dyDescent="0.3">
      <c r="A562" s="347" t="str">
        <f t="shared" si="142"/>
        <v>Exclude</v>
      </c>
      <c r="D562" s="425" t="s">
        <v>1312</v>
      </c>
      <c r="E562" s="44" t="s">
        <v>560</v>
      </c>
      <c r="F562" s="10"/>
      <c r="G562" s="21"/>
      <c r="H562" s="12" t="s">
        <v>3</v>
      </c>
      <c r="I562" s="13"/>
      <c r="J562" s="16">
        <f t="shared" ref="J562" si="145">G562*I562</f>
        <v>0</v>
      </c>
      <c r="K562" s="304"/>
      <c r="L562" s="298"/>
      <c r="M562" s="298">
        <f t="shared" si="144"/>
        <v>0</v>
      </c>
      <c r="N562" s="16"/>
      <c r="O562" s="104"/>
      <c r="Q562" s="281"/>
      <c r="R562" s="281"/>
      <c r="S562" s="281"/>
      <c r="T562" s="281"/>
      <c r="U562" s="281"/>
    </row>
    <row r="563" spans="1:21" ht="12.75" customHeight="1" x14ac:dyDescent="0.3">
      <c r="A563" s="347" t="str">
        <f t="shared" si="142"/>
        <v>Exclude</v>
      </c>
      <c r="D563" s="425" t="s">
        <v>1312</v>
      </c>
      <c r="E563" s="44" t="s">
        <v>90</v>
      </c>
      <c r="F563" s="10"/>
      <c r="G563" s="21"/>
      <c r="H563" s="12" t="s">
        <v>3</v>
      </c>
      <c r="I563" s="13"/>
      <c r="J563" s="16">
        <f t="shared" si="143"/>
        <v>0</v>
      </c>
      <c r="K563" s="304"/>
      <c r="L563" s="298"/>
      <c r="M563" s="298">
        <f t="shared" si="144"/>
        <v>0</v>
      </c>
      <c r="N563" s="16"/>
      <c r="O563" s="104"/>
      <c r="Q563" s="281"/>
      <c r="R563" s="281"/>
      <c r="S563" s="281"/>
      <c r="T563" s="281"/>
      <c r="U563" s="281"/>
    </row>
    <row r="564" spans="1:21" ht="12.75" customHeight="1" x14ac:dyDescent="0.3">
      <c r="A564" s="347" t="str">
        <f t="shared" si="142"/>
        <v>Exclude</v>
      </c>
      <c r="D564" s="425" t="s">
        <v>1312</v>
      </c>
      <c r="E564" s="44" t="s">
        <v>544</v>
      </c>
      <c r="F564" s="10"/>
      <c r="G564" s="21"/>
      <c r="H564" s="12" t="s">
        <v>3</v>
      </c>
      <c r="I564" s="13">
        <v>75</v>
      </c>
      <c r="J564" s="16">
        <f t="shared" si="143"/>
        <v>0</v>
      </c>
      <c r="K564" s="304"/>
      <c r="L564" s="298"/>
      <c r="M564" s="298">
        <f t="shared" si="144"/>
        <v>0</v>
      </c>
      <c r="N564" s="16"/>
      <c r="O564" s="104"/>
      <c r="Q564" s="281"/>
      <c r="R564" s="281"/>
      <c r="S564" s="281"/>
      <c r="T564" s="281"/>
      <c r="U564" s="281"/>
    </row>
    <row r="565" spans="1:21" ht="12.75" customHeight="1" x14ac:dyDescent="0.3">
      <c r="A565" s="347" t="str">
        <f t="shared" si="142"/>
        <v>Exclude</v>
      </c>
      <c r="D565" s="425" t="s">
        <v>1312</v>
      </c>
      <c r="E565" s="36" t="s">
        <v>397</v>
      </c>
      <c r="F565" s="10" t="s">
        <v>6</v>
      </c>
      <c r="G565" s="21"/>
      <c r="H565" s="12" t="s">
        <v>2</v>
      </c>
      <c r="I565" s="13"/>
      <c r="J565" s="16">
        <f>I565*G565</f>
        <v>0</v>
      </c>
      <c r="K565" s="304"/>
      <c r="L565" s="298"/>
      <c r="M565" s="298">
        <f t="shared" si="144"/>
        <v>0</v>
      </c>
      <c r="N565" s="16"/>
      <c r="O565" s="104"/>
      <c r="Q565" s="281"/>
      <c r="R565" s="281"/>
      <c r="S565" s="281"/>
      <c r="T565" s="281"/>
      <c r="U565" s="281"/>
    </row>
    <row r="566" spans="1:21" x14ac:dyDescent="0.3">
      <c r="A566" s="347" t="str">
        <f t="shared" si="142"/>
        <v>Exclude</v>
      </c>
      <c r="D566" s="427" t="s">
        <v>1312</v>
      </c>
      <c r="E566" s="199" t="s">
        <v>943</v>
      </c>
      <c r="F566" s="200"/>
      <c r="G566" s="201"/>
      <c r="H566" s="202" t="s">
        <v>0</v>
      </c>
      <c r="I566" s="203"/>
      <c r="J566" s="203"/>
      <c r="K566" s="304"/>
      <c r="L566" s="302"/>
      <c r="M566" s="302">
        <f>IF(K566="x","Included in Sub Bid",G566*I566)</f>
        <v>0</v>
      </c>
      <c r="N566" s="16"/>
      <c r="O566" s="104"/>
      <c r="Q566" s="281"/>
      <c r="R566" s="281"/>
      <c r="S566" s="281"/>
      <c r="T566" s="281"/>
      <c r="U566" s="281"/>
    </row>
    <row r="567" spans="1:21" x14ac:dyDescent="0.3">
      <c r="A567" s="347" t="str">
        <f t="shared" si="142"/>
        <v>Exclude</v>
      </c>
      <c r="D567" s="427" t="s">
        <v>1312</v>
      </c>
      <c r="E567" s="199" t="s">
        <v>944</v>
      </c>
      <c r="F567" s="200"/>
      <c r="G567" s="201"/>
      <c r="H567" s="202" t="s">
        <v>0</v>
      </c>
      <c r="I567" s="203"/>
      <c r="J567" s="203"/>
      <c r="K567" s="304"/>
      <c r="L567" s="302"/>
      <c r="M567" s="302">
        <f>IF(K567="x","Included in Sub Bid",G567*I567)</f>
        <v>0</v>
      </c>
      <c r="N567" s="16"/>
      <c r="O567" s="104"/>
      <c r="Q567" s="281"/>
      <c r="R567" s="281"/>
      <c r="S567" s="281"/>
      <c r="T567" s="281"/>
      <c r="U567" s="281"/>
    </row>
    <row r="568" spans="1:21" x14ac:dyDescent="0.3">
      <c r="A568" s="347" t="str">
        <f t="shared" si="142"/>
        <v>Exclude</v>
      </c>
      <c r="D568" s="425"/>
      <c r="E568" s="36"/>
      <c r="F568" s="10"/>
      <c r="G568" s="21"/>
      <c r="H568" s="12"/>
      <c r="I568" s="13"/>
      <c r="J568" s="16"/>
      <c r="K568" s="304"/>
      <c r="L568" s="298"/>
      <c r="M568" s="298"/>
      <c r="N568" s="16"/>
      <c r="O568" s="104"/>
      <c r="Q568" s="281"/>
      <c r="R568" s="281"/>
      <c r="S568" s="281"/>
      <c r="T568" s="281"/>
      <c r="U568" s="281"/>
    </row>
    <row r="569" spans="1:21" x14ac:dyDescent="0.3">
      <c r="A569" s="347" t="str">
        <f t="shared" si="142"/>
        <v>Exclude</v>
      </c>
      <c r="D569" s="425"/>
      <c r="E569" s="39"/>
      <c r="F569" s="10"/>
      <c r="G569" s="21"/>
      <c r="H569" s="12"/>
      <c r="I569" s="13"/>
      <c r="J569" s="16"/>
      <c r="K569" s="301"/>
      <c r="L569" s="298"/>
      <c r="M569" s="298"/>
      <c r="N569" s="16"/>
      <c r="O569" s="114"/>
      <c r="Q569" s="281"/>
      <c r="R569" s="281"/>
      <c r="S569" s="281"/>
      <c r="T569" s="281"/>
      <c r="U569" s="281"/>
    </row>
    <row r="570" spans="1:21" ht="15.5" x14ac:dyDescent="0.3">
      <c r="A570" s="347" t="str">
        <f>IF(J570=0,"Exclude","x")</f>
        <v>Exclude</v>
      </c>
      <c r="D570" s="424" t="s">
        <v>815</v>
      </c>
      <c r="E570" s="69" t="s">
        <v>678</v>
      </c>
      <c r="F570" s="56"/>
      <c r="G570" s="57"/>
      <c r="H570" s="58"/>
      <c r="I570" s="59"/>
      <c r="J570" s="60">
        <f>SUBTOTAL(9,J571:J581)</f>
        <v>0</v>
      </c>
      <c r="K570" s="59">
        <f>IFERROR(J570/$G$6,0)</f>
        <v>0</v>
      </c>
      <c r="L570" s="309"/>
      <c r="M570" s="60"/>
      <c r="N570" s="59">
        <f>SUM(M571:M581)</f>
        <v>0</v>
      </c>
      <c r="O570" s="435">
        <f>IFERROR(N570/$G$6,0)</f>
        <v>0</v>
      </c>
      <c r="Q570" s="281"/>
      <c r="R570" s="281"/>
      <c r="S570" s="281"/>
      <c r="T570" s="281"/>
      <c r="U570" s="281"/>
    </row>
    <row r="571" spans="1:21" x14ac:dyDescent="0.3">
      <c r="A571" s="347" t="str">
        <f t="shared" ref="A571:A581" si="146">A570</f>
        <v>Exclude</v>
      </c>
      <c r="D571" s="426" t="s">
        <v>1313</v>
      </c>
      <c r="E571" s="39" t="s">
        <v>1203</v>
      </c>
      <c r="F571" s="24"/>
      <c r="G571" s="292"/>
      <c r="H571" s="25"/>
      <c r="I571" s="293"/>
      <c r="J571" s="293"/>
      <c r="K571" s="301"/>
      <c r="L571" s="300">
        <v>0</v>
      </c>
      <c r="M571" s="301">
        <f>L571</f>
        <v>0</v>
      </c>
      <c r="N571" s="293"/>
      <c r="O571" s="294"/>
      <c r="Q571" s="282"/>
      <c r="R571" s="281"/>
      <c r="S571" s="283"/>
      <c r="T571" s="283"/>
      <c r="U571" s="283"/>
    </row>
    <row r="572" spans="1:21" ht="12.75" customHeight="1" x14ac:dyDescent="0.3">
      <c r="A572" s="347" t="str">
        <f t="shared" si="146"/>
        <v>Exclude</v>
      </c>
      <c r="D572" s="425" t="s">
        <v>1313</v>
      </c>
      <c r="E572" s="36" t="s">
        <v>89</v>
      </c>
      <c r="F572" s="10"/>
      <c r="G572" s="21"/>
      <c r="H572" s="12" t="s">
        <v>1</v>
      </c>
      <c r="I572" s="13">
        <v>1.65</v>
      </c>
      <c r="J572" s="16">
        <f>G572*I572</f>
        <v>0</v>
      </c>
      <c r="K572" s="304"/>
      <c r="L572" s="298"/>
      <c r="M572" s="298">
        <f t="shared" ref="M572:M575" si="147">IF(K572="x","Included in Sub Bid",J572)</f>
        <v>0</v>
      </c>
      <c r="N572" s="16"/>
      <c r="O572" s="104"/>
      <c r="Q572" s="281"/>
      <c r="R572" s="281"/>
      <c r="S572" s="281"/>
      <c r="T572" s="281"/>
      <c r="U572" s="281"/>
    </row>
    <row r="573" spans="1:21" ht="12.75" customHeight="1" x14ac:dyDescent="0.3">
      <c r="A573" s="347" t="str">
        <f t="shared" si="146"/>
        <v>Exclude</v>
      </c>
      <c r="D573" s="425" t="s">
        <v>1313</v>
      </c>
      <c r="E573" s="36" t="s">
        <v>525</v>
      </c>
      <c r="F573" s="10"/>
      <c r="G573" s="21"/>
      <c r="H573" s="12" t="s">
        <v>1</v>
      </c>
      <c r="I573" s="13">
        <v>16</v>
      </c>
      <c r="J573" s="16">
        <f t="shared" ref="J573:J577" si="148">G573*I573</f>
        <v>0</v>
      </c>
      <c r="K573" s="304"/>
      <c r="L573" s="298"/>
      <c r="M573" s="298">
        <f t="shared" si="147"/>
        <v>0</v>
      </c>
      <c r="N573" s="16"/>
      <c r="O573" s="104"/>
      <c r="Q573" s="281"/>
      <c r="R573" s="281"/>
      <c r="S573" s="281"/>
      <c r="T573" s="281"/>
      <c r="U573" s="281"/>
    </row>
    <row r="574" spans="1:21" ht="12.75" customHeight="1" x14ac:dyDescent="0.3">
      <c r="A574" s="347" t="str">
        <f t="shared" si="146"/>
        <v>Exclude</v>
      </c>
      <c r="D574" s="425" t="s">
        <v>1313</v>
      </c>
      <c r="E574" s="36" t="s">
        <v>523</v>
      </c>
      <c r="F574" s="10"/>
      <c r="G574" s="21"/>
      <c r="H574" s="12" t="s">
        <v>1</v>
      </c>
      <c r="I574" s="13"/>
      <c r="J574" s="16">
        <f t="shared" si="148"/>
        <v>0</v>
      </c>
      <c r="K574" s="304"/>
      <c r="L574" s="298"/>
      <c r="M574" s="298">
        <f t="shared" si="147"/>
        <v>0</v>
      </c>
      <c r="N574" s="16"/>
      <c r="O574" s="104"/>
      <c r="Q574" s="281"/>
      <c r="R574" s="281"/>
      <c r="S574" s="281"/>
      <c r="T574" s="281"/>
      <c r="U574" s="281"/>
    </row>
    <row r="575" spans="1:21" ht="12.75" customHeight="1" x14ac:dyDescent="0.3">
      <c r="A575" s="347" t="str">
        <f t="shared" si="146"/>
        <v>Exclude</v>
      </c>
      <c r="D575" s="425" t="s">
        <v>1313</v>
      </c>
      <c r="E575" s="36" t="s">
        <v>524</v>
      </c>
      <c r="F575" s="10"/>
      <c r="G575" s="21"/>
      <c r="H575" s="12" t="s">
        <v>1</v>
      </c>
      <c r="I575" s="13"/>
      <c r="J575" s="16">
        <f t="shared" si="148"/>
        <v>0</v>
      </c>
      <c r="K575" s="304"/>
      <c r="L575" s="298"/>
      <c r="M575" s="298">
        <f t="shared" si="147"/>
        <v>0</v>
      </c>
      <c r="N575" s="16"/>
      <c r="O575" s="104"/>
      <c r="Q575" s="281"/>
      <c r="R575" s="281"/>
      <c r="S575" s="281"/>
      <c r="T575" s="281"/>
      <c r="U575" s="281"/>
    </row>
    <row r="576" spans="1:21" ht="12.75" customHeight="1" x14ac:dyDescent="0.3">
      <c r="A576" s="347" t="str">
        <f t="shared" si="146"/>
        <v>Exclude</v>
      </c>
      <c r="D576" s="425" t="s">
        <v>1313</v>
      </c>
      <c r="E576" s="36" t="s">
        <v>677</v>
      </c>
      <c r="F576" s="10"/>
      <c r="G576" s="21">
        <f>SUM(G572:G575)</f>
        <v>0</v>
      </c>
      <c r="H576" s="12" t="s">
        <v>1</v>
      </c>
      <c r="I576" s="13">
        <v>4</v>
      </c>
      <c r="J576" s="16">
        <f t="shared" ref="J576" si="149">G576*I576</f>
        <v>0</v>
      </c>
      <c r="K576" s="304"/>
      <c r="L576" s="298"/>
      <c r="M576" s="298">
        <f>IF(K576="x","Included in Sub Bid",J576)</f>
        <v>0</v>
      </c>
      <c r="N576" s="16"/>
      <c r="O576" s="104"/>
      <c r="Q576" s="281"/>
      <c r="R576" s="281"/>
      <c r="S576" s="281"/>
      <c r="T576" s="281"/>
      <c r="U576" s="281"/>
    </row>
    <row r="577" spans="1:21" ht="12.75" customHeight="1" x14ac:dyDescent="0.3">
      <c r="A577" s="347" t="str">
        <f t="shared" si="146"/>
        <v>Exclude</v>
      </c>
      <c r="D577" s="425" t="s">
        <v>1313</v>
      </c>
      <c r="E577" s="36" t="s">
        <v>1210</v>
      </c>
      <c r="F577" s="10"/>
      <c r="G577" s="21">
        <f>IF(SUM(G572:G574)&gt;0,1,0)</f>
        <v>0</v>
      </c>
      <c r="H577" s="12" t="s">
        <v>0</v>
      </c>
      <c r="I577" s="13">
        <v>10000</v>
      </c>
      <c r="J577" s="16">
        <f t="shared" si="148"/>
        <v>0</v>
      </c>
      <c r="K577" s="304"/>
      <c r="L577" s="298"/>
      <c r="M577" s="298">
        <f t="shared" ref="M577" si="150">IF(K577="x","Included in Sub Bid",J577)</f>
        <v>0</v>
      </c>
      <c r="N577" s="16"/>
      <c r="O577" s="104"/>
      <c r="Q577" s="281"/>
      <c r="R577" s="281"/>
      <c r="S577" s="281"/>
      <c r="T577" s="281"/>
      <c r="U577" s="281"/>
    </row>
    <row r="578" spans="1:21" x14ac:dyDescent="0.3">
      <c r="A578" s="347" t="str">
        <f t="shared" si="146"/>
        <v>Exclude</v>
      </c>
      <c r="D578" s="427" t="s">
        <v>1313</v>
      </c>
      <c r="E578" s="199" t="s">
        <v>943</v>
      </c>
      <c r="F578" s="200"/>
      <c r="G578" s="201"/>
      <c r="H578" s="202" t="s">
        <v>0</v>
      </c>
      <c r="I578" s="203"/>
      <c r="J578" s="203"/>
      <c r="K578" s="304"/>
      <c r="L578" s="302"/>
      <c r="M578" s="302">
        <f>IF(K578="x","Included in Sub Bid",G578*I578)</f>
        <v>0</v>
      </c>
      <c r="N578" s="16"/>
      <c r="O578" s="104"/>
      <c r="Q578" s="281"/>
      <c r="R578" s="281"/>
      <c r="S578" s="281"/>
      <c r="T578" s="281"/>
      <c r="U578" s="281"/>
    </row>
    <row r="579" spans="1:21" x14ac:dyDescent="0.3">
      <c r="A579" s="347" t="str">
        <f t="shared" si="146"/>
        <v>Exclude</v>
      </c>
      <c r="D579" s="427" t="s">
        <v>1313</v>
      </c>
      <c r="E579" s="199" t="s">
        <v>944</v>
      </c>
      <c r="F579" s="200"/>
      <c r="G579" s="201"/>
      <c r="H579" s="202" t="s">
        <v>0</v>
      </c>
      <c r="I579" s="203"/>
      <c r="J579" s="203"/>
      <c r="K579" s="304"/>
      <c r="L579" s="302"/>
      <c r="M579" s="302">
        <f>IF(K579="x","Included in Sub Bid",G579*I579)</f>
        <v>0</v>
      </c>
      <c r="N579" s="16"/>
      <c r="O579" s="104"/>
      <c r="Q579" s="281"/>
      <c r="R579" s="281"/>
      <c r="S579" s="281"/>
      <c r="T579" s="281"/>
      <c r="U579" s="281"/>
    </row>
    <row r="580" spans="1:21" ht="12.75" customHeight="1" x14ac:dyDescent="0.3">
      <c r="A580" s="347" t="str">
        <f t="shared" si="146"/>
        <v>Exclude</v>
      </c>
      <c r="D580" s="425"/>
      <c r="E580" s="36"/>
      <c r="F580" s="10"/>
      <c r="G580" s="21"/>
      <c r="H580" s="12"/>
      <c r="I580" s="13"/>
      <c r="J580" s="16"/>
      <c r="K580" s="304"/>
      <c r="L580" s="298"/>
      <c r="M580" s="298"/>
      <c r="N580" s="16"/>
      <c r="O580" s="104"/>
      <c r="Q580" s="281"/>
      <c r="R580" s="281"/>
      <c r="S580" s="281"/>
      <c r="T580" s="281"/>
      <c r="U580" s="281"/>
    </row>
    <row r="581" spans="1:21" ht="12.75" customHeight="1" x14ac:dyDescent="0.3">
      <c r="A581" s="347" t="str">
        <f t="shared" si="146"/>
        <v>Exclude</v>
      </c>
      <c r="D581" s="425"/>
      <c r="E581" s="36"/>
      <c r="F581" s="10"/>
      <c r="G581" s="21"/>
      <c r="H581" s="12"/>
      <c r="I581" s="13"/>
      <c r="J581" s="16"/>
      <c r="K581" s="301"/>
      <c r="L581" s="298"/>
      <c r="M581" s="298"/>
      <c r="N581" s="16"/>
      <c r="O581" s="104"/>
      <c r="Q581" s="281"/>
      <c r="R581" s="281"/>
      <c r="S581" s="281"/>
      <c r="T581" s="281"/>
      <c r="U581" s="281"/>
    </row>
    <row r="582" spans="1:21" ht="15.75" customHeight="1" x14ac:dyDescent="0.3">
      <c r="A582" s="347" t="str">
        <f>IF(J582=0,"Exclude","x")</f>
        <v>Exclude</v>
      </c>
      <c r="D582" s="424" t="s">
        <v>815</v>
      </c>
      <c r="E582" s="69" t="s">
        <v>635</v>
      </c>
      <c r="F582" s="56"/>
      <c r="G582" s="57"/>
      <c r="H582" s="58"/>
      <c r="I582" s="59"/>
      <c r="J582" s="60">
        <f>SUBTOTAL(9,J583:J606)</f>
        <v>0</v>
      </c>
      <c r="K582" s="59">
        <f>IFERROR(J582/$G$6,0)</f>
        <v>0</v>
      </c>
      <c r="L582" s="309"/>
      <c r="M582" s="60"/>
      <c r="N582" s="59">
        <f>SUM(M583:M606)</f>
        <v>0</v>
      </c>
      <c r="O582" s="435">
        <f>IFERROR(N582/$G$6,0)</f>
        <v>0</v>
      </c>
      <c r="Q582" s="281"/>
      <c r="R582" s="281"/>
      <c r="S582" s="281"/>
      <c r="T582" s="281"/>
      <c r="U582" s="281"/>
    </row>
    <row r="583" spans="1:21" x14ac:dyDescent="0.3">
      <c r="A583" s="347" t="str">
        <f t="shared" ref="A583:A606" si="151">A582</f>
        <v>Exclude</v>
      </c>
      <c r="D583" s="426" t="s">
        <v>1314</v>
      </c>
      <c r="E583" s="39" t="s">
        <v>1203</v>
      </c>
      <c r="F583" s="24"/>
      <c r="G583" s="292"/>
      <c r="H583" s="25"/>
      <c r="I583" s="293"/>
      <c r="J583" s="293"/>
      <c r="K583" s="301"/>
      <c r="L583" s="300">
        <v>0</v>
      </c>
      <c r="M583" s="301">
        <f>L583</f>
        <v>0</v>
      </c>
      <c r="N583" s="293"/>
      <c r="O583" s="294"/>
      <c r="Q583" s="282"/>
      <c r="R583" s="281"/>
      <c r="S583" s="283"/>
      <c r="T583" s="283"/>
      <c r="U583" s="283"/>
    </row>
    <row r="584" spans="1:21" x14ac:dyDescent="0.3">
      <c r="A584" s="347" t="str">
        <f t="shared" si="151"/>
        <v>Exclude</v>
      </c>
      <c r="D584" s="425" t="s">
        <v>1314</v>
      </c>
      <c r="E584" s="44" t="s">
        <v>1134</v>
      </c>
      <c r="F584" s="10"/>
      <c r="G584" s="21"/>
      <c r="H584" s="19" t="s">
        <v>1</v>
      </c>
      <c r="I584" s="13">
        <v>1.1000000000000001</v>
      </c>
      <c r="J584" s="16">
        <f>G584*I584</f>
        <v>0</v>
      </c>
      <c r="K584" s="304"/>
      <c r="L584" s="298"/>
      <c r="M584" s="298">
        <f t="shared" ref="M584:M596" si="152">IF(K584="x","Included in Sub Bid",J584)</f>
        <v>0</v>
      </c>
      <c r="N584" s="16"/>
      <c r="O584" s="104"/>
      <c r="Q584" s="281"/>
      <c r="R584" s="281"/>
      <c r="S584" s="281"/>
      <c r="T584" s="281"/>
      <c r="U584" s="281"/>
    </row>
    <row r="585" spans="1:21" x14ac:dyDescent="0.3">
      <c r="A585" s="347" t="str">
        <f t="shared" si="151"/>
        <v>Exclude</v>
      </c>
      <c r="D585" s="425" t="s">
        <v>1314</v>
      </c>
      <c r="E585" s="44" t="s">
        <v>1135</v>
      </c>
      <c r="F585" s="10"/>
      <c r="G585" s="21"/>
      <c r="H585" s="19" t="s">
        <v>1</v>
      </c>
      <c r="I585" s="13">
        <v>1.23</v>
      </c>
      <c r="J585" s="16">
        <f t="shared" ref="J585:J592" si="153">G585*I585</f>
        <v>0</v>
      </c>
      <c r="K585" s="304"/>
      <c r="L585" s="298"/>
      <c r="M585" s="298">
        <f t="shared" si="152"/>
        <v>0</v>
      </c>
      <c r="N585" s="16"/>
      <c r="O585" s="104"/>
      <c r="Q585" s="281"/>
      <c r="R585" s="281"/>
      <c r="S585" s="281"/>
      <c r="T585" s="281"/>
      <c r="U585" s="281"/>
    </row>
    <row r="586" spans="1:21" x14ac:dyDescent="0.3">
      <c r="A586" s="347" t="str">
        <f t="shared" si="151"/>
        <v>Exclude</v>
      </c>
      <c r="D586" s="425" t="s">
        <v>1314</v>
      </c>
      <c r="E586" s="44" t="s">
        <v>1136</v>
      </c>
      <c r="F586" s="10"/>
      <c r="G586" s="21"/>
      <c r="H586" s="19" t="s">
        <v>1</v>
      </c>
      <c r="I586" s="13">
        <v>1.4</v>
      </c>
      <c r="J586" s="16">
        <f t="shared" si="153"/>
        <v>0</v>
      </c>
      <c r="K586" s="304"/>
      <c r="L586" s="298"/>
      <c r="M586" s="298">
        <f t="shared" si="152"/>
        <v>0</v>
      </c>
      <c r="N586" s="16"/>
      <c r="O586" s="104"/>
      <c r="Q586" s="281"/>
      <c r="R586" s="281"/>
      <c r="S586" s="281"/>
      <c r="T586" s="281"/>
      <c r="U586" s="281"/>
    </row>
    <row r="587" spans="1:21" x14ac:dyDescent="0.3">
      <c r="A587" s="347" t="str">
        <f t="shared" si="151"/>
        <v>Exclude</v>
      </c>
      <c r="D587" s="425" t="s">
        <v>1314</v>
      </c>
      <c r="E587" s="44" t="s">
        <v>1137</v>
      </c>
      <c r="F587" s="10"/>
      <c r="G587" s="21"/>
      <c r="H587" s="19" t="s">
        <v>1</v>
      </c>
      <c r="I587" s="13">
        <v>1.53</v>
      </c>
      <c r="J587" s="16">
        <f t="shared" si="153"/>
        <v>0</v>
      </c>
      <c r="K587" s="304"/>
      <c r="L587" s="298"/>
      <c r="M587" s="298">
        <f t="shared" si="152"/>
        <v>0</v>
      </c>
      <c r="N587" s="16"/>
      <c r="O587" s="104"/>
      <c r="Q587" s="281"/>
      <c r="R587" s="281"/>
      <c r="S587" s="281"/>
      <c r="T587" s="281"/>
      <c r="U587" s="281"/>
    </row>
    <row r="588" spans="1:21" x14ac:dyDescent="0.3">
      <c r="A588" s="347" t="str">
        <f t="shared" si="151"/>
        <v>Exclude</v>
      </c>
      <c r="D588" s="425" t="s">
        <v>1314</v>
      </c>
      <c r="E588" s="44" t="s">
        <v>1138</v>
      </c>
      <c r="F588" s="10"/>
      <c r="G588" s="21"/>
      <c r="H588" s="19" t="s">
        <v>1</v>
      </c>
      <c r="I588" s="13">
        <v>0.55000000000000004</v>
      </c>
      <c r="J588" s="16">
        <f t="shared" si="153"/>
        <v>0</v>
      </c>
      <c r="K588" s="304"/>
      <c r="L588" s="298"/>
      <c r="M588" s="298">
        <f t="shared" si="152"/>
        <v>0</v>
      </c>
      <c r="N588" s="16"/>
      <c r="O588" s="104"/>
      <c r="Q588" s="281"/>
      <c r="R588" s="281"/>
      <c r="S588" s="281"/>
      <c r="T588" s="281"/>
      <c r="U588" s="281"/>
    </row>
    <row r="589" spans="1:21" x14ac:dyDescent="0.3">
      <c r="A589" s="347" t="str">
        <f t="shared" si="151"/>
        <v>Exclude</v>
      </c>
      <c r="D589" s="425" t="s">
        <v>1314</v>
      </c>
      <c r="E589" s="44" t="s">
        <v>1139</v>
      </c>
      <c r="F589" s="10"/>
      <c r="G589" s="21"/>
      <c r="H589" s="19" t="s">
        <v>1</v>
      </c>
      <c r="I589" s="13">
        <v>0.77</v>
      </c>
      <c r="J589" s="16">
        <f t="shared" si="153"/>
        <v>0</v>
      </c>
      <c r="K589" s="304"/>
      <c r="L589" s="298"/>
      <c r="M589" s="298">
        <f t="shared" si="152"/>
        <v>0</v>
      </c>
      <c r="N589" s="16"/>
      <c r="O589" s="104"/>
      <c r="Q589" s="281"/>
      <c r="R589" s="281"/>
      <c r="S589" s="281"/>
      <c r="T589" s="281"/>
      <c r="U589" s="281"/>
    </row>
    <row r="590" spans="1:21" x14ac:dyDescent="0.3">
      <c r="A590" s="347" t="str">
        <f t="shared" si="151"/>
        <v>Exclude</v>
      </c>
      <c r="D590" s="425" t="s">
        <v>1314</v>
      </c>
      <c r="E590" s="44" t="s">
        <v>1140</v>
      </c>
      <c r="F590" s="10"/>
      <c r="G590" s="21"/>
      <c r="H590" s="19" t="s">
        <v>1</v>
      </c>
      <c r="I590" s="13">
        <v>1.02</v>
      </c>
      <c r="J590" s="16">
        <f t="shared" si="153"/>
        <v>0</v>
      </c>
      <c r="K590" s="304"/>
      <c r="L590" s="298"/>
      <c r="M590" s="298">
        <f t="shared" si="152"/>
        <v>0</v>
      </c>
      <c r="N590" s="16"/>
      <c r="O590" s="104"/>
      <c r="Q590" s="281"/>
      <c r="R590" s="281"/>
      <c r="S590" s="281"/>
      <c r="T590" s="281"/>
      <c r="U590" s="281"/>
    </row>
    <row r="591" spans="1:21" x14ac:dyDescent="0.3">
      <c r="A591" s="347" t="str">
        <f t="shared" si="151"/>
        <v>Exclude</v>
      </c>
      <c r="D591" s="425" t="s">
        <v>1314</v>
      </c>
      <c r="E591" s="44" t="s">
        <v>1141</v>
      </c>
      <c r="F591" s="10"/>
      <c r="G591" s="21"/>
      <c r="H591" s="19" t="s">
        <v>1</v>
      </c>
      <c r="I591" s="13">
        <v>1.27</v>
      </c>
      <c r="J591" s="16">
        <f t="shared" si="153"/>
        <v>0</v>
      </c>
      <c r="K591" s="304"/>
      <c r="L591" s="298"/>
      <c r="M591" s="298">
        <f t="shared" si="152"/>
        <v>0</v>
      </c>
      <c r="N591" s="16"/>
      <c r="O591" s="104"/>
      <c r="Q591" s="281"/>
      <c r="R591" s="281"/>
      <c r="S591" s="281"/>
      <c r="T591" s="281"/>
      <c r="U591" s="281"/>
    </row>
    <row r="592" spans="1:21" x14ac:dyDescent="0.3">
      <c r="A592" s="347" t="str">
        <f t="shared" si="151"/>
        <v>Exclude</v>
      </c>
      <c r="D592" s="425" t="s">
        <v>1314</v>
      </c>
      <c r="E592" s="44" t="s">
        <v>1142</v>
      </c>
      <c r="F592" s="10"/>
      <c r="G592" s="21"/>
      <c r="H592" s="19" t="s">
        <v>1</v>
      </c>
      <c r="I592" s="13">
        <v>1.52</v>
      </c>
      <c r="J592" s="16">
        <f t="shared" si="153"/>
        <v>0</v>
      </c>
      <c r="K592" s="304"/>
      <c r="L592" s="298"/>
      <c r="M592" s="298">
        <f t="shared" si="152"/>
        <v>0</v>
      </c>
      <c r="N592" s="16"/>
      <c r="O592" s="104"/>
      <c r="Q592" s="281"/>
      <c r="R592" s="281"/>
      <c r="S592" s="281"/>
      <c r="T592" s="281"/>
      <c r="U592" s="281"/>
    </row>
    <row r="593" spans="1:21" ht="12.75" customHeight="1" x14ac:dyDescent="0.3">
      <c r="A593" s="347" t="str">
        <f t="shared" si="151"/>
        <v>Exclude</v>
      </c>
      <c r="D593" s="425" t="s">
        <v>1314</v>
      </c>
      <c r="E593" s="44" t="s">
        <v>559</v>
      </c>
      <c r="F593" s="10"/>
      <c r="G593" s="21"/>
      <c r="H593" s="19" t="s">
        <v>1</v>
      </c>
      <c r="I593" s="13">
        <v>1</v>
      </c>
      <c r="J593" s="16">
        <f t="shared" ref="J593:J596" si="154">G593*I593</f>
        <v>0</v>
      </c>
      <c r="K593" s="304"/>
      <c r="L593" s="298"/>
      <c r="M593" s="298">
        <f t="shared" si="152"/>
        <v>0</v>
      </c>
      <c r="N593" s="16"/>
      <c r="O593" s="104"/>
      <c r="Q593" s="281"/>
      <c r="R593" s="281"/>
      <c r="S593" s="281"/>
      <c r="T593" s="281"/>
      <c r="U593" s="281"/>
    </row>
    <row r="594" spans="1:21" ht="12.75" customHeight="1" x14ac:dyDescent="0.3">
      <c r="A594" s="347" t="str">
        <f t="shared" si="151"/>
        <v>Exclude</v>
      </c>
      <c r="D594" s="425" t="s">
        <v>1314</v>
      </c>
      <c r="E594" s="44" t="s">
        <v>527</v>
      </c>
      <c r="F594" s="10"/>
      <c r="G594" s="21">
        <f>+G598</f>
        <v>0</v>
      </c>
      <c r="H594" s="19" t="s">
        <v>2</v>
      </c>
      <c r="I594" s="13"/>
      <c r="J594" s="16">
        <f t="shared" ref="J594" si="155">G594*I594</f>
        <v>0</v>
      </c>
      <c r="K594" s="304"/>
      <c r="L594" s="298"/>
      <c r="M594" s="298">
        <f t="shared" si="152"/>
        <v>0</v>
      </c>
      <c r="N594" s="16"/>
      <c r="O594" s="104"/>
      <c r="Q594" s="281"/>
      <c r="R594" s="281"/>
      <c r="S594" s="281"/>
      <c r="T594" s="281"/>
      <c r="U594" s="281"/>
    </row>
    <row r="595" spans="1:21" ht="12.75" customHeight="1" x14ac:dyDescent="0.3">
      <c r="A595" s="347" t="str">
        <f t="shared" si="151"/>
        <v>Exclude</v>
      </c>
      <c r="D595" s="425" t="s">
        <v>1314</v>
      </c>
      <c r="E595" s="44" t="s">
        <v>180</v>
      </c>
      <c r="F595" s="10"/>
      <c r="G595" s="21"/>
      <c r="H595" s="19" t="s">
        <v>1</v>
      </c>
      <c r="I595" s="13"/>
      <c r="J595" s="16">
        <f t="shared" si="154"/>
        <v>0</v>
      </c>
      <c r="K595" s="304"/>
      <c r="L595" s="298"/>
      <c r="M595" s="298">
        <f t="shared" si="152"/>
        <v>0</v>
      </c>
      <c r="N595" s="16"/>
      <c r="O595" s="104"/>
      <c r="Q595" s="281"/>
      <c r="R595" s="281"/>
      <c r="S595" s="281"/>
      <c r="T595" s="281"/>
      <c r="U595" s="281"/>
    </row>
    <row r="596" spans="1:21" ht="12.75" customHeight="1" x14ac:dyDescent="0.3">
      <c r="A596" s="347" t="str">
        <f t="shared" si="151"/>
        <v>Exclude</v>
      </c>
      <c r="D596" s="425" t="s">
        <v>1314</v>
      </c>
      <c r="E596" s="44" t="s">
        <v>179</v>
      </c>
      <c r="F596" s="10" t="s">
        <v>589</v>
      </c>
      <c r="G596" s="21"/>
      <c r="H596" s="19" t="s">
        <v>1</v>
      </c>
      <c r="I596" s="13"/>
      <c r="J596" s="16">
        <f t="shared" si="154"/>
        <v>0</v>
      </c>
      <c r="K596" s="304"/>
      <c r="L596" s="298"/>
      <c r="M596" s="298">
        <f t="shared" si="152"/>
        <v>0</v>
      </c>
      <c r="N596" s="16"/>
      <c r="O596" s="104"/>
      <c r="Q596" s="281"/>
      <c r="R596" s="281"/>
      <c r="S596" s="281"/>
      <c r="T596" s="281"/>
      <c r="U596" s="281"/>
    </row>
    <row r="597" spans="1:21" ht="12.75" customHeight="1" x14ac:dyDescent="0.3">
      <c r="A597" s="347" t="str">
        <f t="shared" si="151"/>
        <v>Exclude</v>
      </c>
      <c r="D597" s="425" t="s">
        <v>1314</v>
      </c>
      <c r="E597" s="44" t="s">
        <v>209</v>
      </c>
      <c r="F597" s="10"/>
      <c r="G597" s="21"/>
      <c r="H597" s="12" t="s">
        <v>2</v>
      </c>
      <c r="I597" s="13">
        <v>1500</v>
      </c>
      <c r="J597" s="16">
        <f>G597*I597</f>
        <v>0</v>
      </c>
      <c r="K597" s="304"/>
      <c r="L597" s="298"/>
      <c r="M597" s="298">
        <f t="shared" ref="M597:M602" si="156">IF(K597="x","Included in Sub Bid",J597)</f>
        <v>0</v>
      </c>
      <c r="N597" s="16"/>
      <c r="O597" s="104"/>
      <c r="Q597" s="281"/>
      <c r="R597" s="281"/>
      <c r="S597" s="281"/>
      <c r="T597" s="281"/>
      <c r="U597" s="281"/>
    </row>
    <row r="598" spans="1:21" ht="12.75" customHeight="1" x14ac:dyDescent="0.3">
      <c r="A598" s="347" t="str">
        <f t="shared" si="151"/>
        <v>Exclude</v>
      </c>
      <c r="D598" s="425" t="s">
        <v>1314</v>
      </c>
      <c r="E598" s="44" t="s">
        <v>210</v>
      </c>
      <c r="F598" s="10"/>
      <c r="G598" s="21"/>
      <c r="H598" s="12" t="s">
        <v>2</v>
      </c>
      <c r="I598" s="13">
        <v>1500</v>
      </c>
      <c r="J598" s="16">
        <f t="shared" ref="J598:J599" si="157">G598*I598</f>
        <v>0</v>
      </c>
      <c r="K598" s="304"/>
      <c r="L598" s="298"/>
      <c r="M598" s="298">
        <f t="shared" si="156"/>
        <v>0</v>
      </c>
      <c r="N598" s="16"/>
      <c r="O598" s="104"/>
      <c r="Q598" s="281"/>
      <c r="R598" s="281"/>
      <c r="S598" s="281"/>
      <c r="T598" s="281"/>
      <c r="U598" s="281"/>
    </row>
    <row r="599" spans="1:21" ht="12.75" customHeight="1" x14ac:dyDescent="0.3">
      <c r="A599" s="347" t="str">
        <f t="shared" si="151"/>
        <v>Exclude</v>
      </c>
      <c r="D599" s="425" t="s">
        <v>1314</v>
      </c>
      <c r="E599" s="44" t="s">
        <v>211</v>
      </c>
      <c r="F599" s="10"/>
      <c r="G599" s="21"/>
      <c r="H599" s="12" t="s">
        <v>2</v>
      </c>
      <c r="I599" s="13"/>
      <c r="J599" s="16">
        <f t="shared" si="157"/>
        <v>0</v>
      </c>
      <c r="K599" s="304"/>
      <c r="L599" s="298"/>
      <c r="M599" s="298">
        <f t="shared" si="156"/>
        <v>0</v>
      </c>
      <c r="N599" s="16"/>
      <c r="O599" s="104"/>
      <c r="Q599" s="281"/>
      <c r="R599" s="281"/>
      <c r="S599" s="281"/>
      <c r="T599" s="281"/>
      <c r="U599" s="281"/>
    </row>
    <row r="600" spans="1:21" ht="12.75" customHeight="1" x14ac:dyDescent="0.3">
      <c r="A600" s="347" t="str">
        <f t="shared" si="151"/>
        <v>Exclude</v>
      </c>
      <c r="D600" s="425" t="s">
        <v>1314</v>
      </c>
      <c r="E600" s="44" t="s">
        <v>773</v>
      </c>
      <c r="F600" s="10"/>
      <c r="G600" s="21"/>
      <c r="H600" s="12" t="s">
        <v>3</v>
      </c>
      <c r="I600" s="13">
        <v>18</v>
      </c>
      <c r="J600" s="16">
        <f t="shared" ref="J600" si="158">G600*I600</f>
        <v>0</v>
      </c>
      <c r="K600" s="304"/>
      <c r="L600" s="298"/>
      <c r="M600" s="298">
        <f t="shared" si="156"/>
        <v>0</v>
      </c>
      <c r="N600" s="16"/>
      <c r="O600" s="104"/>
      <c r="Q600" s="281"/>
      <c r="R600" s="281"/>
      <c r="S600" s="281"/>
      <c r="T600" s="281"/>
      <c r="U600" s="281"/>
    </row>
    <row r="601" spans="1:21" ht="12.75" customHeight="1" x14ac:dyDescent="0.3">
      <c r="A601" s="347" t="str">
        <f t="shared" si="151"/>
        <v>Exclude</v>
      </c>
      <c r="D601" s="425" t="s">
        <v>1314</v>
      </c>
      <c r="E601" s="44" t="s">
        <v>1213</v>
      </c>
      <c r="F601" s="10"/>
      <c r="G601" s="21">
        <f>IF(SUM(G584:G587)=0,0,1)</f>
        <v>0</v>
      </c>
      <c r="H601" s="12" t="s">
        <v>0</v>
      </c>
      <c r="I601" s="13">
        <v>8000</v>
      </c>
      <c r="J601" s="16">
        <f>I601*G601</f>
        <v>0</v>
      </c>
      <c r="K601" s="304"/>
      <c r="L601" s="298"/>
      <c r="M601" s="298">
        <f t="shared" ref="M601" si="159">IF(K601="x","Included in Sub Bid",J601)</f>
        <v>0</v>
      </c>
      <c r="N601" s="16"/>
      <c r="O601" s="104"/>
      <c r="Q601" s="281"/>
      <c r="R601" s="281"/>
      <c r="S601" s="281"/>
      <c r="T601" s="281"/>
      <c r="U601" s="281"/>
    </row>
    <row r="602" spans="1:21" ht="12.75" customHeight="1" x14ac:dyDescent="0.3">
      <c r="A602" s="347" t="str">
        <f t="shared" si="151"/>
        <v>Exclude</v>
      </c>
      <c r="D602" s="425" t="s">
        <v>1314</v>
      </c>
      <c r="E602" s="44" t="s">
        <v>1214</v>
      </c>
      <c r="F602" s="10"/>
      <c r="G602" s="21">
        <f>IF(G601=0,0,1)</f>
        <v>0</v>
      </c>
      <c r="H602" s="12" t="s">
        <v>0</v>
      </c>
      <c r="I602" s="13">
        <v>2000</v>
      </c>
      <c r="J602" s="16">
        <f>I602*G602</f>
        <v>0</v>
      </c>
      <c r="K602" s="304"/>
      <c r="L602" s="298"/>
      <c r="M602" s="298">
        <f t="shared" si="156"/>
        <v>0</v>
      </c>
      <c r="N602" s="16"/>
      <c r="O602" s="104"/>
      <c r="Q602" s="281"/>
      <c r="R602" s="281"/>
      <c r="S602" s="281"/>
      <c r="T602" s="281"/>
      <c r="U602" s="281"/>
    </row>
    <row r="603" spans="1:21" x14ac:dyDescent="0.3">
      <c r="A603" s="347" t="str">
        <f t="shared" si="151"/>
        <v>Exclude</v>
      </c>
      <c r="D603" s="427" t="s">
        <v>1314</v>
      </c>
      <c r="E603" s="199" t="s">
        <v>943</v>
      </c>
      <c r="F603" s="200"/>
      <c r="G603" s="201"/>
      <c r="H603" s="202" t="s">
        <v>0</v>
      </c>
      <c r="I603" s="203"/>
      <c r="J603" s="203"/>
      <c r="K603" s="304"/>
      <c r="L603" s="302"/>
      <c r="M603" s="302">
        <f>IF(K603="x","Included in Sub Bid",G603*I603)</f>
        <v>0</v>
      </c>
      <c r="N603" s="16"/>
      <c r="O603" s="104"/>
      <c r="Q603" s="281"/>
      <c r="R603" s="281"/>
      <c r="S603" s="281"/>
      <c r="T603" s="281"/>
      <c r="U603" s="281"/>
    </row>
    <row r="604" spans="1:21" x14ac:dyDescent="0.3">
      <c r="A604" s="347" t="str">
        <f t="shared" si="151"/>
        <v>Exclude</v>
      </c>
      <c r="D604" s="427" t="s">
        <v>1314</v>
      </c>
      <c r="E604" s="199" t="s">
        <v>944</v>
      </c>
      <c r="F604" s="200"/>
      <c r="G604" s="201"/>
      <c r="H604" s="202" t="s">
        <v>0</v>
      </c>
      <c r="I604" s="203"/>
      <c r="J604" s="203"/>
      <c r="K604" s="304"/>
      <c r="L604" s="302"/>
      <c r="M604" s="302">
        <f>IF(K604="x","Included in Sub Bid",G604*I604)</f>
        <v>0</v>
      </c>
      <c r="N604" s="16"/>
      <c r="O604" s="104"/>
      <c r="Q604" s="281"/>
      <c r="R604" s="281"/>
      <c r="S604" s="281"/>
      <c r="T604" s="281"/>
      <c r="U604" s="281"/>
    </row>
    <row r="605" spans="1:21" ht="12.75" customHeight="1" x14ac:dyDescent="0.3">
      <c r="A605" s="347" t="str">
        <f t="shared" si="151"/>
        <v>Exclude</v>
      </c>
      <c r="D605" s="425"/>
      <c r="E605" s="36"/>
      <c r="F605" s="10"/>
      <c r="G605" s="21"/>
      <c r="H605" s="12"/>
      <c r="I605" s="13"/>
      <c r="J605" s="16"/>
      <c r="K605" s="304"/>
      <c r="L605" s="298"/>
      <c r="M605" s="298"/>
      <c r="N605" s="16"/>
      <c r="O605" s="104"/>
      <c r="Q605" s="281"/>
      <c r="R605" s="281"/>
      <c r="S605" s="281"/>
      <c r="T605" s="281"/>
      <c r="U605" s="281"/>
    </row>
    <row r="606" spans="1:21" ht="12" customHeight="1" x14ac:dyDescent="0.3">
      <c r="A606" s="347" t="str">
        <f t="shared" si="151"/>
        <v>Exclude</v>
      </c>
      <c r="D606" s="425"/>
      <c r="E606" s="39"/>
      <c r="F606" s="10"/>
      <c r="G606" s="21"/>
      <c r="H606" s="12"/>
      <c r="I606" s="13"/>
      <c r="J606" s="16"/>
      <c r="K606" s="301"/>
      <c r="L606" s="298"/>
      <c r="M606" s="298"/>
      <c r="N606" s="16"/>
      <c r="O606" s="114"/>
      <c r="Q606" s="281"/>
      <c r="R606" s="281"/>
      <c r="S606" s="281"/>
      <c r="T606" s="281"/>
      <c r="U606" s="281"/>
    </row>
    <row r="607" spans="1:21" ht="15.75" customHeight="1" x14ac:dyDescent="0.3">
      <c r="A607" s="347" t="str">
        <f>IF(J607=0,"Exclude","x")</f>
        <v>Exclude</v>
      </c>
      <c r="D607" s="424" t="s">
        <v>815</v>
      </c>
      <c r="E607" s="69" t="s">
        <v>636</v>
      </c>
      <c r="F607" s="56"/>
      <c r="G607" s="57"/>
      <c r="H607" s="58"/>
      <c r="I607" s="59"/>
      <c r="J607" s="60">
        <f>SUBTOTAL(9,J608:J622)</f>
        <v>0</v>
      </c>
      <c r="K607" s="59">
        <f>IFERROR(J607/$G$6,0)</f>
        <v>0</v>
      </c>
      <c r="L607" s="309"/>
      <c r="M607" s="60"/>
      <c r="N607" s="59">
        <f>SUM(M608:M622)</f>
        <v>0</v>
      </c>
      <c r="O607" s="435">
        <f>IFERROR(N607/$G$6,0)</f>
        <v>0</v>
      </c>
      <c r="Q607" s="281"/>
      <c r="R607" s="281"/>
      <c r="S607" s="281"/>
      <c r="T607" s="281"/>
      <c r="U607" s="281"/>
    </row>
    <row r="608" spans="1:21" x14ac:dyDescent="0.3">
      <c r="A608" s="347" t="str">
        <f t="shared" ref="A608:A622" si="160">A607</f>
        <v>Exclude</v>
      </c>
      <c r="D608" s="426" t="s">
        <v>1315</v>
      </c>
      <c r="E608" s="39" t="s">
        <v>1203</v>
      </c>
      <c r="F608" s="24"/>
      <c r="G608" s="292"/>
      <c r="H608" s="25"/>
      <c r="I608" s="293"/>
      <c r="J608" s="293"/>
      <c r="K608" s="301"/>
      <c r="L608" s="300">
        <v>0</v>
      </c>
      <c r="M608" s="301">
        <f>L608</f>
        <v>0</v>
      </c>
      <c r="N608" s="293"/>
      <c r="O608" s="294"/>
      <c r="Q608" s="282"/>
      <c r="R608" s="281"/>
      <c r="S608" s="283"/>
      <c r="T608" s="283"/>
      <c r="U608" s="283"/>
    </row>
    <row r="609" spans="1:21" ht="12" customHeight="1" x14ac:dyDescent="0.3">
      <c r="A609" s="347" t="str">
        <f t="shared" si="160"/>
        <v>Exclude</v>
      </c>
      <c r="D609" s="425" t="s">
        <v>1315</v>
      </c>
      <c r="E609" s="44" t="s">
        <v>97</v>
      </c>
      <c r="F609" s="10"/>
      <c r="G609" s="21">
        <f>G392/'Project Info Input'!C46</f>
        <v>0</v>
      </c>
      <c r="H609" s="12" t="s">
        <v>3</v>
      </c>
      <c r="I609" s="13">
        <v>2.5</v>
      </c>
      <c r="J609" s="16">
        <f>G609*I609</f>
        <v>0</v>
      </c>
      <c r="K609" s="304"/>
      <c r="L609" s="298"/>
      <c r="M609" s="298">
        <f t="shared" ref="M609:M618" si="161">IF(K609="x","Included in Sub Bid",J609)</f>
        <v>0</v>
      </c>
      <c r="N609" s="16"/>
      <c r="O609" s="104"/>
      <c r="Q609" s="281"/>
      <c r="R609" s="281"/>
      <c r="S609" s="281"/>
      <c r="T609" s="281"/>
      <c r="U609" s="281"/>
    </row>
    <row r="610" spans="1:21" ht="12" customHeight="1" x14ac:dyDescent="0.3">
      <c r="A610" s="347" t="str">
        <f t="shared" si="160"/>
        <v>Exclude</v>
      </c>
      <c r="D610" s="425" t="s">
        <v>1315</v>
      </c>
      <c r="E610" s="44" t="s">
        <v>98</v>
      </c>
      <c r="F610" s="10"/>
      <c r="G610" s="21">
        <f>G609</f>
        <v>0</v>
      </c>
      <c r="H610" s="12" t="s">
        <v>3</v>
      </c>
      <c r="I610" s="13">
        <v>2.5</v>
      </c>
      <c r="J610" s="16">
        <f>G610*I610</f>
        <v>0</v>
      </c>
      <c r="K610" s="304"/>
      <c r="L610" s="298"/>
      <c r="M610" s="298">
        <f t="shared" si="161"/>
        <v>0</v>
      </c>
      <c r="N610" s="16"/>
      <c r="O610" s="104"/>
      <c r="Q610" s="281"/>
      <c r="R610" s="281"/>
      <c r="S610" s="281"/>
      <c r="T610" s="281"/>
      <c r="U610" s="281"/>
    </row>
    <row r="611" spans="1:21" ht="12" customHeight="1" x14ac:dyDescent="0.3">
      <c r="A611" s="347" t="str">
        <f t="shared" si="160"/>
        <v>Exclude</v>
      </c>
      <c r="D611" s="425" t="s">
        <v>1315</v>
      </c>
      <c r="E611" s="44" t="s">
        <v>774</v>
      </c>
      <c r="F611" s="10"/>
      <c r="G611" s="21"/>
      <c r="H611" s="12" t="s">
        <v>3</v>
      </c>
      <c r="I611" s="13">
        <v>2</v>
      </c>
      <c r="J611" s="16">
        <f>G611*I611</f>
        <v>0</v>
      </c>
      <c r="K611" s="304"/>
      <c r="L611" s="298"/>
      <c r="M611" s="298">
        <f t="shared" si="161"/>
        <v>0</v>
      </c>
      <c r="N611" s="16"/>
      <c r="O611" s="104"/>
      <c r="Q611" s="281"/>
      <c r="R611" s="281"/>
      <c r="S611" s="281"/>
      <c r="T611" s="281"/>
      <c r="U611" s="281"/>
    </row>
    <row r="612" spans="1:21" ht="12" customHeight="1" x14ac:dyDescent="0.3">
      <c r="A612" s="347" t="str">
        <f t="shared" si="160"/>
        <v>Exclude</v>
      </c>
      <c r="D612" s="425" t="s">
        <v>1315</v>
      </c>
      <c r="E612" s="44" t="s">
        <v>1260</v>
      </c>
      <c r="F612" s="10"/>
      <c r="G612" s="21"/>
      <c r="H612" s="12" t="s">
        <v>2</v>
      </c>
      <c r="I612" s="13">
        <v>15</v>
      </c>
      <c r="J612" s="16">
        <f>G612*I612</f>
        <v>0</v>
      </c>
      <c r="K612" s="304"/>
      <c r="L612" s="298"/>
      <c r="M612" s="298">
        <f t="shared" ref="M612" si="162">IF(K612="x","Included in Sub Bid",J612)</f>
        <v>0</v>
      </c>
      <c r="N612" s="16"/>
      <c r="O612" s="104"/>
      <c r="Q612" s="281"/>
      <c r="R612" s="281"/>
      <c r="S612" s="281"/>
      <c r="T612" s="281"/>
      <c r="U612" s="281"/>
    </row>
    <row r="613" spans="1:21" ht="12" customHeight="1" x14ac:dyDescent="0.3">
      <c r="A613" s="347" t="str">
        <f>A611</f>
        <v>Exclude</v>
      </c>
      <c r="D613" s="425" t="s">
        <v>1315</v>
      </c>
      <c r="E613" s="44" t="s">
        <v>1143</v>
      </c>
      <c r="F613" s="10" t="s">
        <v>1399</v>
      </c>
      <c r="G613" s="21"/>
      <c r="H613" s="12" t="s">
        <v>1</v>
      </c>
      <c r="I613" s="13">
        <v>0.25</v>
      </c>
      <c r="J613" s="16">
        <f>G613*I613</f>
        <v>0</v>
      </c>
      <c r="K613" s="304"/>
      <c r="L613" s="298"/>
      <c r="M613" s="298">
        <f t="shared" si="161"/>
        <v>0</v>
      </c>
      <c r="N613" s="16"/>
      <c r="O613" s="104"/>
      <c r="Q613" s="281"/>
      <c r="R613" s="281"/>
      <c r="S613" s="281"/>
      <c r="T613" s="281"/>
      <c r="U613" s="281"/>
    </row>
    <row r="614" spans="1:21" ht="12" customHeight="1" x14ac:dyDescent="0.3">
      <c r="A614" s="347" t="str">
        <f t="shared" ref="A614" si="163">A612</f>
        <v>Exclude</v>
      </c>
      <c r="D614" s="425" t="s">
        <v>1315</v>
      </c>
      <c r="E614" s="44" t="s">
        <v>1143</v>
      </c>
      <c r="F614" s="10" t="s">
        <v>1400</v>
      </c>
      <c r="G614" s="21"/>
      <c r="H614" s="12" t="s">
        <v>1</v>
      </c>
      <c r="I614" s="13">
        <v>0.35</v>
      </c>
      <c r="J614" s="16">
        <f t="shared" ref="J614" si="164">G614*I614</f>
        <v>0</v>
      </c>
      <c r="K614" s="304"/>
      <c r="L614" s="298"/>
      <c r="M614" s="298">
        <f t="shared" ref="M614" si="165">IF(K614="x","Included in Sub Bid",J614)</f>
        <v>0</v>
      </c>
      <c r="N614" s="16"/>
      <c r="O614" s="104"/>
      <c r="Q614" s="281"/>
      <c r="R614" s="281"/>
      <c r="S614" s="281"/>
      <c r="T614" s="281"/>
      <c r="U614" s="281"/>
    </row>
    <row r="615" spans="1:21" ht="12" customHeight="1" x14ac:dyDescent="0.3">
      <c r="A615" s="347" t="str">
        <f>A613</f>
        <v>Exclude</v>
      </c>
      <c r="D615" s="425" t="s">
        <v>1315</v>
      </c>
      <c r="E615" s="44" t="s">
        <v>190</v>
      </c>
      <c r="F615" s="10"/>
      <c r="G615" s="21"/>
      <c r="H615" s="12" t="s">
        <v>3</v>
      </c>
      <c r="I615" s="13"/>
      <c r="J615" s="16">
        <f t="shared" ref="J615:J618" si="166">G615*I615</f>
        <v>0</v>
      </c>
      <c r="K615" s="304"/>
      <c r="L615" s="298"/>
      <c r="M615" s="298">
        <f t="shared" si="161"/>
        <v>0</v>
      </c>
      <c r="N615" s="16"/>
      <c r="O615" s="104"/>
      <c r="Q615" s="281"/>
      <c r="R615" s="281"/>
      <c r="S615" s="281"/>
      <c r="T615" s="281"/>
      <c r="U615" s="281"/>
    </row>
    <row r="616" spans="1:21" ht="12" customHeight="1" x14ac:dyDescent="0.3">
      <c r="A616" s="347" t="str">
        <f t="shared" si="160"/>
        <v>Exclude</v>
      </c>
      <c r="D616" s="425" t="s">
        <v>1315</v>
      </c>
      <c r="E616" s="44" t="s">
        <v>99</v>
      </c>
      <c r="F616" s="10"/>
      <c r="G616" s="21"/>
      <c r="H616" s="12" t="s">
        <v>0</v>
      </c>
      <c r="I616" s="13"/>
      <c r="J616" s="16">
        <f t="shared" si="166"/>
        <v>0</v>
      </c>
      <c r="K616" s="304"/>
      <c r="L616" s="298"/>
      <c r="M616" s="298">
        <f t="shared" si="161"/>
        <v>0</v>
      </c>
      <c r="N616" s="16"/>
      <c r="O616" s="104"/>
      <c r="Q616" s="281"/>
      <c r="R616" s="281"/>
      <c r="S616" s="281"/>
      <c r="T616" s="281"/>
      <c r="U616" s="281"/>
    </row>
    <row r="617" spans="1:21" ht="12" customHeight="1" x14ac:dyDescent="0.3">
      <c r="A617" s="347" t="str">
        <f t="shared" si="160"/>
        <v>Exclude</v>
      </c>
      <c r="D617" s="425" t="s">
        <v>1315</v>
      </c>
      <c r="E617" s="44" t="s">
        <v>78</v>
      </c>
      <c r="F617" s="10"/>
      <c r="G617" s="21"/>
      <c r="H617" s="12" t="s">
        <v>3</v>
      </c>
      <c r="I617" s="13"/>
      <c r="J617" s="16">
        <f t="shared" si="166"/>
        <v>0</v>
      </c>
      <c r="K617" s="304"/>
      <c r="L617" s="298"/>
      <c r="M617" s="298">
        <f t="shared" si="161"/>
        <v>0</v>
      </c>
      <c r="N617" s="16"/>
      <c r="O617" s="104"/>
      <c r="Q617" s="281"/>
      <c r="R617" s="281"/>
      <c r="S617" s="281"/>
      <c r="T617" s="281"/>
      <c r="U617" s="281"/>
    </row>
    <row r="618" spans="1:21" ht="12" customHeight="1" x14ac:dyDescent="0.3">
      <c r="A618" s="347" t="str">
        <f t="shared" si="160"/>
        <v>Exclude</v>
      </c>
      <c r="D618" s="425" t="s">
        <v>1315</v>
      </c>
      <c r="E618" s="44" t="s">
        <v>100</v>
      </c>
      <c r="F618" s="10"/>
      <c r="G618" s="21"/>
      <c r="H618" s="12" t="s">
        <v>0</v>
      </c>
      <c r="I618" s="13">
        <v>2500</v>
      </c>
      <c r="J618" s="16">
        <f t="shared" si="166"/>
        <v>0</v>
      </c>
      <c r="K618" s="304"/>
      <c r="L618" s="298"/>
      <c r="M618" s="298">
        <f t="shared" si="161"/>
        <v>0</v>
      </c>
      <c r="N618" s="16"/>
      <c r="O618" s="104"/>
      <c r="Q618" s="281"/>
      <c r="R618" s="281"/>
      <c r="S618" s="281"/>
      <c r="T618" s="281"/>
      <c r="U618" s="281"/>
    </row>
    <row r="619" spans="1:21" x14ac:dyDescent="0.3">
      <c r="A619" s="347" t="str">
        <f t="shared" si="160"/>
        <v>Exclude</v>
      </c>
      <c r="D619" s="427" t="s">
        <v>1315</v>
      </c>
      <c r="E619" s="199" t="s">
        <v>943</v>
      </c>
      <c r="F619" s="200"/>
      <c r="G619" s="201"/>
      <c r="H619" s="202" t="s">
        <v>0</v>
      </c>
      <c r="I619" s="203"/>
      <c r="J619" s="203"/>
      <c r="K619" s="304"/>
      <c r="L619" s="302"/>
      <c r="M619" s="302">
        <f>IF(K619="x","Included in Sub Bid",G619*I619)</f>
        <v>0</v>
      </c>
      <c r="N619" s="16"/>
      <c r="O619" s="104"/>
      <c r="Q619" s="281"/>
      <c r="R619" s="281"/>
      <c r="S619" s="281"/>
      <c r="T619" s="281"/>
      <c r="U619" s="281"/>
    </row>
    <row r="620" spans="1:21" x14ac:dyDescent="0.3">
      <c r="A620" s="347" t="str">
        <f t="shared" si="160"/>
        <v>Exclude</v>
      </c>
      <c r="D620" s="427" t="s">
        <v>1315</v>
      </c>
      <c r="E620" s="199" t="s">
        <v>944</v>
      </c>
      <c r="F620" s="200"/>
      <c r="G620" s="201"/>
      <c r="H620" s="202" t="s">
        <v>0</v>
      </c>
      <c r="I620" s="203"/>
      <c r="J620" s="203"/>
      <c r="K620" s="304"/>
      <c r="L620" s="302"/>
      <c r="M620" s="302">
        <f>IF(K620="x","Included in Sub Bid",G620*I620)</f>
        <v>0</v>
      </c>
      <c r="N620" s="16"/>
      <c r="O620" s="104"/>
      <c r="Q620" s="281"/>
      <c r="R620" s="281"/>
      <c r="S620" s="281"/>
      <c r="T620" s="281"/>
      <c r="U620" s="281"/>
    </row>
    <row r="621" spans="1:21" ht="12" customHeight="1" x14ac:dyDescent="0.3">
      <c r="A621" s="347" t="str">
        <f t="shared" si="160"/>
        <v>Exclude</v>
      </c>
      <c r="D621" s="425"/>
      <c r="E621" s="44"/>
      <c r="F621" s="10"/>
      <c r="G621" s="21"/>
      <c r="H621" s="12"/>
      <c r="I621" s="13"/>
      <c r="J621" s="16"/>
      <c r="K621" s="304"/>
      <c r="L621" s="298"/>
      <c r="M621" s="298"/>
      <c r="N621" s="16"/>
      <c r="O621" s="104"/>
      <c r="Q621" s="281"/>
      <c r="R621" s="281"/>
      <c r="S621" s="281"/>
      <c r="T621" s="281"/>
      <c r="U621" s="281"/>
    </row>
    <row r="622" spans="1:21" ht="12" customHeight="1" x14ac:dyDescent="0.3">
      <c r="A622" s="347" t="str">
        <f t="shared" si="160"/>
        <v>Exclude</v>
      </c>
      <c r="D622" s="425"/>
      <c r="E622" s="39"/>
      <c r="F622" s="10"/>
      <c r="G622" s="21"/>
      <c r="H622" s="12"/>
      <c r="I622" s="13"/>
      <c r="J622" s="16"/>
      <c r="K622" s="301"/>
      <c r="L622" s="298"/>
      <c r="M622" s="298"/>
      <c r="N622" s="16"/>
      <c r="O622" s="114"/>
      <c r="Q622" s="281"/>
      <c r="R622" s="281"/>
      <c r="S622" s="281"/>
      <c r="T622" s="281"/>
      <c r="U622" s="281"/>
    </row>
    <row r="623" spans="1:21" ht="15.75" customHeight="1" x14ac:dyDescent="0.35">
      <c r="A623" s="347" t="str">
        <f>IF(J623=0,"Exclude","x")</f>
        <v>x</v>
      </c>
      <c r="D623" s="431"/>
      <c r="E623" s="68" t="s">
        <v>104</v>
      </c>
      <c r="F623" s="63"/>
      <c r="G623" s="64"/>
      <c r="H623" s="65"/>
      <c r="I623" s="66"/>
      <c r="J623" s="66">
        <f>SUBTOTAL(9,J624:J685)</f>
        <v>550</v>
      </c>
      <c r="K623" s="438">
        <f>IFERROR(J623/$G$6,0)</f>
        <v>0</v>
      </c>
      <c r="L623" s="311"/>
      <c r="M623" s="66"/>
      <c r="N623" s="66">
        <f>N624+N635+N647+N665</f>
        <v>550</v>
      </c>
      <c r="O623" s="317">
        <f>IFERROR(N623/$G$6,0)</f>
        <v>0</v>
      </c>
      <c r="Q623" s="281"/>
      <c r="R623" s="281"/>
      <c r="S623" s="281"/>
      <c r="T623" s="281"/>
      <c r="U623" s="281"/>
    </row>
    <row r="624" spans="1:21" ht="15.75" customHeight="1" x14ac:dyDescent="0.3">
      <c r="A624" s="347" t="str">
        <f>IF(J624=0,"Exclude","x")</f>
        <v>x</v>
      </c>
      <c r="D624" s="424" t="s">
        <v>814</v>
      </c>
      <c r="E624" s="69" t="s">
        <v>637</v>
      </c>
      <c r="F624" s="56"/>
      <c r="G624" s="57"/>
      <c r="H624" s="58"/>
      <c r="I624" s="59"/>
      <c r="J624" s="60">
        <f>SUBTOTAL(9,J625:J634)</f>
        <v>550</v>
      </c>
      <c r="K624" s="59">
        <f>IFERROR(J624/$G$6,0)</f>
        <v>0</v>
      </c>
      <c r="L624" s="309"/>
      <c r="M624" s="60"/>
      <c r="N624" s="59">
        <f>SUM(M625:M634)</f>
        <v>550</v>
      </c>
      <c r="O624" s="435">
        <f>IFERROR(N624/$G$6,0)</f>
        <v>0</v>
      </c>
      <c r="Q624" s="281"/>
      <c r="R624" s="281"/>
      <c r="S624" s="281"/>
      <c r="T624" s="281"/>
      <c r="U624" s="281"/>
    </row>
    <row r="625" spans="1:21" x14ac:dyDescent="0.3">
      <c r="A625" s="347" t="str">
        <f t="shared" ref="A625:A634" si="167">A624</f>
        <v>x</v>
      </c>
      <c r="D625" s="426" t="s">
        <v>1316</v>
      </c>
      <c r="E625" s="39" t="s">
        <v>1203</v>
      </c>
      <c r="F625" s="24"/>
      <c r="G625" s="292"/>
      <c r="H625" s="25"/>
      <c r="I625" s="293"/>
      <c r="J625" s="293"/>
      <c r="K625" s="301"/>
      <c r="L625" s="300">
        <v>0</v>
      </c>
      <c r="M625" s="301">
        <f>L625</f>
        <v>0</v>
      </c>
      <c r="N625" s="293"/>
      <c r="O625" s="294"/>
      <c r="Q625" s="282"/>
      <c r="R625" s="281"/>
      <c r="S625" s="283"/>
      <c r="T625" s="283"/>
      <c r="U625" s="283"/>
    </row>
    <row r="626" spans="1:21" ht="12" customHeight="1" x14ac:dyDescent="0.3">
      <c r="A626" s="347" t="str">
        <f t="shared" si="167"/>
        <v>x</v>
      </c>
      <c r="D626" s="425" t="s">
        <v>1316</v>
      </c>
      <c r="E626" s="44" t="s">
        <v>1144</v>
      </c>
      <c r="F626" s="10" t="s">
        <v>332</v>
      </c>
      <c r="G626" s="21">
        <f>ROUNDUP('Project Info Input'!C35/100,0)</f>
        <v>0</v>
      </c>
      <c r="H626" s="12" t="s">
        <v>2</v>
      </c>
      <c r="I626" s="13">
        <v>1500</v>
      </c>
      <c r="J626" s="16">
        <f>G626*I626</f>
        <v>0</v>
      </c>
      <c r="K626" s="304"/>
      <c r="L626" s="298"/>
      <c r="M626" s="298">
        <f t="shared" ref="M626:M630" si="168">IF(K626="x","Included in Sub Bid",J626)</f>
        <v>0</v>
      </c>
      <c r="N626" s="16"/>
      <c r="O626" s="104"/>
      <c r="Q626" s="281"/>
      <c r="R626" s="281"/>
      <c r="S626" s="281"/>
      <c r="T626" s="281"/>
      <c r="U626" s="281"/>
    </row>
    <row r="627" spans="1:21" ht="12" customHeight="1" x14ac:dyDescent="0.3">
      <c r="A627" s="347" t="str">
        <f t="shared" si="167"/>
        <v>x</v>
      </c>
      <c r="D627" s="425" t="s">
        <v>1316</v>
      </c>
      <c r="E627" s="44" t="s">
        <v>1144</v>
      </c>
      <c r="F627" s="10" t="s">
        <v>347</v>
      </c>
      <c r="G627" s="21">
        <f>G1058</f>
        <v>0</v>
      </c>
      <c r="H627" s="12" t="s">
        <v>2</v>
      </c>
      <c r="I627" s="13">
        <v>2200</v>
      </c>
      <c r="J627" s="16">
        <f>G627*I627</f>
        <v>0</v>
      </c>
      <c r="K627" s="304"/>
      <c r="L627" s="298"/>
      <c r="M627" s="298">
        <f t="shared" si="168"/>
        <v>0</v>
      </c>
      <c r="N627" s="16"/>
      <c r="O627" s="104"/>
      <c r="Q627" s="281"/>
      <c r="R627" s="281"/>
      <c r="S627" s="281"/>
      <c r="T627" s="281"/>
      <c r="U627" s="281"/>
    </row>
    <row r="628" spans="1:21" ht="12" customHeight="1" x14ac:dyDescent="0.3">
      <c r="A628" s="347" t="str">
        <f t="shared" si="167"/>
        <v>x</v>
      </c>
      <c r="D628" s="425" t="s">
        <v>1316</v>
      </c>
      <c r="E628" s="44" t="s">
        <v>775</v>
      </c>
      <c r="F628" s="10"/>
      <c r="G628" s="21">
        <v>1</v>
      </c>
      <c r="H628" s="12" t="s">
        <v>2</v>
      </c>
      <c r="I628" s="13">
        <v>550</v>
      </c>
      <c r="J628" s="16">
        <f>G628*I628</f>
        <v>550</v>
      </c>
      <c r="K628" s="304"/>
      <c r="L628" s="298"/>
      <c r="M628" s="298">
        <f t="shared" si="168"/>
        <v>550</v>
      </c>
      <c r="N628" s="16"/>
      <c r="O628" s="104"/>
      <c r="Q628" s="281"/>
      <c r="R628" s="281"/>
      <c r="S628" s="281"/>
      <c r="T628" s="281"/>
      <c r="U628" s="281"/>
    </row>
    <row r="629" spans="1:21" ht="12" customHeight="1" x14ac:dyDescent="0.3">
      <c r="A629" s="347" t="str">
        <f t="shared" si="167"/>
        <v>x</v>
      </c>
      <c r="D629" s="425" t="s">
        <v>1316</v>
      </c>
      <c r="E629" s="44" t="s">
        <v>101</v>
      </c>
      <c r="F629" s="10" t="s">
        <v>332</v>
      </c>
      <c r="G629" s="21"/>
      <c r="H629" s="12" t="s">
        <v>2</v>
      </c>
      <c r="I629" s="13"/>
      <c r="J629" s="16">
        <f>G629*I629</f>
        <v>0</v>
      </c>
      <c r="K629" s="304"/>
      <c r="L629" s="298"/>
      <c r="M629" s="298">
        <f t="shared" si="168"/>
        <v>0</v>
      </c>
      <c r="N629" s="16"/>
      <c r="O629" s="104"/>
      <c r="Q629" s="281"/>
      <c r="R629" s="281"/>
      <c r="S629" s="281"/>
      <c r="T629" s="281"/>
      <c r="U629" s="281"/>
    </row>
    <row r="630" spans="1:21" ht="12" customHeight="1" x14ac:dyDescent="0.3">
      <c r="A630" s="347" t="str">
        <f t="shared" si="167"/>
        <v>x</v>
      </c>
      <c r="D630" s="425" t="s">
        <v>1316</v>
      </c>
      <c r="E630" s="44" t="s">
        <v>334</v>
      </c>
      <c r="F630" s="10"/>
      <c r="G630" s="21"/>
      <c r="H630" s="12" t="s">
        <v>2</v>
      </c>
      <c r="I630" s="13"/>
      <c r="J630" s="16">
        <f>G630*I630</f>
        <v>0</v>
      </c>
      <c r="K630" s="304"/>
      <c r="L630" s="298"/>
      <c r="M630" s="298">
        <f t="shared" si="168"/>
        <v>0</v>
      </c>
      <c r="N630" s="16"/>
      <c r="O630" s="104"/>
      <c r="Q630" s="281"/>
      <c r="R630" s="281"/>
      <c r="S630" s="281"/>
      <c r="T630" s="281"/>
      <c r="U630" s="281"/>
    </row>
    <row r="631" spans="1:21" x14ac:dyDescent="0.3">
      <c r="A631" s="347" t="str">
        <f t="shared" si="167"/>
        <v>x</v>
      </c>
      <c r="D631" s="427" t="s">
        <v>1316</v>
      </c>
      <c r="E631" s="199" t="s">
        <v>943</v>
      </c>
      <c r="F631" s="200"/>
      <c r="G631" s="201"/>
      <c r="H631" s="202" t="s">
        <v>0</v>
      </c>
      <c r="I631" s="203"/>
      <c r="J631" s="203"/>
      <c r="K631" s="304"/>
      <c r="L631" s="302"/>
      <c r="M631" s="302">
        <f>IF(K631="x","Included in Sub Bid",G631*I631)</f>
        <v>0</v>
      </c>
      <c r="N631" s="16"/>
      <c r="O631" s="104"/>
      <c r="Q631" s="281"/>
      <c r="R631" s="281"/>
      <c r="S631" s="281"/>
      <c r="T631" s="281"/>
      <c r="U631" s="281"/>
    </row>
    <row r="632" spans="1:21" x14ac:dyDescent="0.3">
      <c r="A632" s="347" t="str">
        <f t="shared" si="167"/>
        <v>x</v>
      </c>
      <c r="D632" s="427" t="s">
        <v>1316</v>
      </c>
      <c r="E632" s="199" t="s">
        <v>944</v>
      </c>
      <c r="F632" s="200"/>
      <c r="G632" s="201"/>
      <c r="H632" s="202" t="s">
        <v>0</v>
      </c>
      <c r="I632" s="203"/>
      <c r="J632" s="203"/>
      <c r="K632" s="304"/>
      <c r="L632" s="302"/>
      <c r="M632" s="302">
        <f>IF(K632="x","Included in Sub Bid",G632*I632)</f>
        <v>0</v>
      </c>
      <c r="N632" s="16"/>
      <c r="O632" s="104"/>
      <c r="Q632" s="281"/>
      <c r="R632" s="281"/>
      <c r="S632" s="281"/>
      <c r="T632" s="281"/>
      <c r="U632" s="281"/>
    </row>
    <row r="633" spans="1:21" ht="12" customHeight="1" x14ac:dyDescent="0.3">
      <c r="A633" s="347" t="str">
        <f t="shared" si="167"/>
        <v>x</v>
      </c>
      <c r="D633" s="425"/>
      <c r="E633" s="36"/>
      <c r="F633" s="10"/>
      <c r="G633" s="21"/>
      <c r="H633" s="12"/>
      <c r="I633" s="13"/>
      <c r="J633" s="16"/>
      <c r="K633" s="304"/>
      <c r="L633" s="298"/>
      <c r="M633" s="298"/>
      <c r="N633" s="16"/>
      <c r="O633" s="104"/>
      <c r="Q633" s="281"/>
      <c r="R633" s="281"/>
      <c r="S633" s="281"/>
      <c r="T633" s="281"/>
      <c r="U633" s="281"/>
    </row>
    <row r="634" spans="1:21" ht="12" customHeight="1" x14ac:dyDescent="0.3">
      <c r="A634" s="347" t="str">
        <f t="shared" si="167"/>
        <v>x</v>
      </c>
      <c r="D634" s="425"/>
      <c r="E634" s="39"/>
      <c r="F634" s="10"/>
      <c r="G634" s="21"/>
      <c r="H634" s="12"/>
      <c r="I634" s="13"/>
      <c r="J634" s="16"/>
      <c r="K634" s="301"/>
      <c r="L634" s="298"/>
      <c r="M634" s="298"/>
      <c r="N634" s="16"/>
      <c r="O634" s="114"/>
      <c r="Q634" s="281"/>
      <c r="R634" s="281"/>
      <c r="S634" s="281"/>
      <c r="T634" s="281"/>
      <c r="U634" s="281"/>
    </row>
    <row r="635" spans="1:21" ht="15.75" customHeight="1" x14ac:dyDescent="0.3">
      <c r="A635" s="347" t="str">
        <f>IF(J635=0,"Exclude","x")</f>
        <v>Exclude</v>
      </c>
      <c r="D635" s="424" t="s">
        <v>814</v>
      </c>
      <c r="E635" s="69" t="s">
        <v>638</v>
      </c>
      <c r="F635" s="56"/>
      <c r="G635" s="57"/>
      <c r="H635" s="58"/>
      <c r="I635" s="59"/>
      <c r="J635" s="60">
        <f>SUBTOTAL(9,J636:J646)</f>
        <v>0</v>
      </c>
      <c r="K635" s="59">
        <f>IFERROR(J635/$G$6,0)</f>
        <v>0</v>
      </c>
      <c r="L635" s="309"/>
      <c r="M635" s="60"/>
      <c r="N635" s="59">
        <f>SUM(M636:M646)</f>
        <v>0</v>
      </c>
      <c r="O635" s="435">
        <f>IFERROR(N635/$G$6,0)</f>
        <v>0</v>
      </c>
      <c r="Q635" s="281"/>
      <c r="R635" s="281"/>
      <c r="S635" s="281"/>
      <c r="T635" s="281"/>
      <c r="U635" s="281"/>
    </row>
    <row r="636" spans="1:21" x14ac:dyDescent="0.3">
      <c r="A636" s="347" t="str">
        <f t="shared" ref="A636:A646" si="169">A635</f>
        <v>Exclude</v>
      </c>
      <c r="D636" s="426" t="s">
        <v>1316</v>
      </c>
      <c r="E636" s="39" t="s">
        <v>1203</v>
      </c>
      <c r="F636" s="24"/>
      <c r="G636" s="292"/>
      <c r="H636" s="25"/>
      <c r="I636" s="293"/>
      <c r="J636" s="293"/>
      <c r="K636" s="301"/>
      <c r="L636" s="300">
        <v>0</v>
      </c>
      <c r="M636" s="301">
        <f>L636</f>
        <v>0</v>
      </c>
      <c r="N636" s="293"/>
      <c r="O636" s="294"/>
      <c r="Q636" s="282"/>
      <c r="R636" s="281"/>
      <c r="S636" s="283"/>
      <c r="T636" s="283"/>
      <c r="U636" s="283"/>
    </row>
    <row r="637" spans="1:21" ht="12" customHeight="1" x14ac:dyDescent="0.3">
      <c r="A637" s="347" t="str">
        <f t="shared" si="169"/>
        <v>Exclude</v>
      </c>
      <c r="D637" s="425" t="s">
        <v>1316</v>
      </c>
      <c r="E637" s="44" t="s">
        <v>212</v>
      </c>
      <c r="F637" s="10" t="s">
        <v>347</v>
      </c>
      <c r="G637" s="21"/>
      <c r="H637" s="12" t="s">
        <v>2</v>
      </c>
      <c r="I637" s="13"/>
      <c r="J637" s="16">
        <f t="shared" ref="J637:J642" si="170">G637*I637</f>
        <v>0</v>
      </c>
      <c r="K637" s="304"/>
      <c r="L637" s="298"/>
      <c r="M637" s="298">
        <f t="shared" ref="M637:M644" si="171">IF(K637="x","Included in Sub Bid",J637)</f>
        <v>0</v>
      </c>
      <c r="N637" s="16"/>
      <c r="O637" s="104"/>
      <c r="Q637" s="281"/>
      <c r="R637" s="281"/>
      <c r="S637" s="281"/>
      <c r="T637" s="281"/>
      <c r="U637" s="281"/>
    </row>
    <row r="638" spans="1:21" ht="12" customHeight="1" x14ac:dyDescent="0.3">
      <c r="A638" s="347" t="str">
        <f t="shared" si="169"/>
        <v>Exclude</v>
      </c>
      <c r="D638" s="425" t="s">
        <v>1316</v>
      </c>
      <c r="E638" s="44" t="s">
        <v>213</v>
      </c>
      <c r="F638" s="10" t="s">
        <v>487</v>
      </c>
      <c r="G638" s="21"/>
      <c r="H638" s="12" t="s">
        <v>2</v>
      </c>
      <c r="I638" s="13">
        <v>1500</v>
      </c>
      <c r="J638" s="16">
        <f t="shared" si="170"/>
        <v>0</v>
      </c>
      <c r="K638" s="304"/>
      <c r="L638" s="298"/>
      <c r="M638" s="298">
        <f t="shared" si="171"/>
        <v>0</v>
      </c>
      <c r="N638" s="16"/>
      <c r="O638" s="104"/>
      <c r="Q638" s="281"/>
      <c r="R638" s="281"/>
      <c r="S638" s="281"/>
      <c r="T638" s="281"/>
      <c r="U638" s="281"/>
    </row>
    <row r="639" spans="1:21" ht="12" customHeight="1" x14ac:dyDescent="0.3">
      <c r="A639" s="347" t="str">
        <f t="shared" si="169"/>
        <v>Exclude</v>
      </c>
      <c r="D639" s="425" t="s">
        <v>1316</v>
      </c>
      <c r="E639" s="44" t="s">
        <v>372</v>
      </c>
      <c r="F639" s="10" t="s">
        <v>487</v>
      </c>
      <c r="G639" s="21"/>
      <c r="H639" s="12" t="s">
        <v>2</v>
      </c>
      <c r="I639" s="13"/>
      <c r="J639" s="16">
        <f t="shared" si="170"/>
        <v>0</v>
      </c>
      <c r="K639" s="304"/>
      <c r="L639" s="298"/>
      <c r="M639" s="298">
        <f t="shared" si="171"/>
        <v>0</v>
      </c>
      <c r="N639" s="16"/>
      <c r="O639" s="104"/>
      <c r="Q639" s="281"/>
      <c r="R639" s="281"/>
      <c r="S639" s="281"/>
      <c r="T639" s="281"/>
      <c r="U639" s="281"/>
    </row>
    <row r="640" spans="1:21" ht="12" customHeight="1" x14ac:dyDescent="0.3">
      <c r="A640" s="347" t="str">
        <f t="shared" si="169"/>
        <v>Exclude</v>
      </c>
      <c r="D640" s="425" t="s">
        <v>1316</v>
      </c>
      <c r="E640" s="44" t="s">
        <v>484</v>
      </c>
      <c r="F640" s="10" t="s">
        <v>347</v>
      </c>
      <c r="G640" s="21"/>
      <c r="H640" s="12" t="s">
        <v>2</v>
      </c>
      <c r="I640" s="13"/>
      <c r="J640" s="16">
        <f t="shared" si="170"/>
        <v>0</v>
      </c>
      <c r="K640" s="304"/>
      <c r="L640" s="298"/>
      <c r="M640" s="298">
        <f t="shared" si="171"/>
        <v>0</v>
      </c>
      <c r="N640" s="16"/>
      <c r="O640" s="104"/>
      <c r="Q640" s="281"/>
      <c r="R640" s="281"/>
      <c r="S640" s="281"/>
      <c r="T640" s="281"/>
      <c r="U640" s="281"/>
    </row>
    <row r="641" spans="1:21" ht="12" customHeight="1" x14ac:dyDescent="0.3">
      <c r="A641" s="347" t="str">
        <f t="shared" si="169"/>
        <v>Exclude</v>
      </c>
      <c r="D641" s="425" t="s">
        <v>1316</v>
      </c>
      <c r="E641" s="44" t="s">
        <v>485</v>
      </c>
      <c r="F641" s="10" t="s">
        <v>487</v>
      </c>
      <c r="G641" s="21"/>
      <c r="H641" s="12" t="s">
        <v>2</v>
      </c>
      <c r="I641" s="13"/>
      <c r="J641" s="16">
        <f t="shared" si="170"/>
        <v>0</v>
      </c>
      <c r="K641" s="304"/>
      <c r="L641" s="298"/>
      <c r="M641" s="298">
        <f t="shared" si="171"/>
        <v>0</v>
      </c>
      <c r="N641" s="16"/>
      <c r="O641" s="104"/>
      <c r="Q641" s="281"/>
      <c r="R641" s="281"/>
      <c r="S641" s="281"/>
      <c r="T641" s="281"/>
      <c r="U641" s="281"/>
    </row>
    <row r="642" spans="1:21" ht="12" customHeight="1" x14ac:dyDescent="0.3">
      <c r="A642" s="347" t="str">
        <f t="shared" si="169"/>
        <v>Exclude</v>
      </c>
      <c r="D642" s="425" t="s">
        <v>1316</v>
      </c>
      <c r="E642" s="44" t="s">
        <v>486</v>
      </c>
      <c r="F642" s="10" t="s">
        <v>347</v>
      </c>
      <c r="G642" s="21"/>
      <c r="H642" s="12" t="s">
        <v>2</v>
      </c>
      <c r="I642" s="13"/>
      <c r="J642" s="16">
        <f t="shared" si="170"/>
        <v>0</v>
      </c>
      <c r="K642" s="304"/>
      <c r="L642" s="298"/>
      <c r="M642" s="298">
        <f t="shared" si="171"/>
        <v>0</v>
      </c>
      <c r="N642" s="16"/>
      <c r="O642" s="104"/>
      <c r="Q642" s="281"/>
      <c r="R642" s="281"/>
      <c r="S642" s="281"/>
      <c r="T642" s="281"/>
      <c r="U642" s="281"/>
    </row>
    <row r="643" spans="1:21" ht="12" customHeight="1" x14ac:dyDescent="0.3">
      <c r="A643" s="347" t="str">
        <f t="shared" si="169"/>
        <v>Exclude</v>
      </c>
      <c r="D643" s="425" t="s">
        <v>1316</v>
      </c>
      <c r="E643" s="44" t="s">
        <v>214</v>
      </c>
      <c r="F643" s="10" t="s">
        <v>347</v>
      </c>
      <c r="G643" s="21"/>
      <c r="H643" s="12" t="s">
        <v>2</v>
      </c>
      <c r="I643" s="13"/>
      <c r="J643" s="16">
        <f t="shared" ref="J643:J644" si="172">G643*I643</f>
        <v>0</v>
      </c>
      <c r="K643" s="304"/>
      <c r="L643" s="298"/>
      <c r="M643" s="298">
        <f t="shared" si="171"/>
        <v>0</v>
      </c>
      <c r="N643" s="16"/>
      <c r="O643" s="104"/>
      <c r="Q643" s="281"/>
      <c r="R643" s="281"/>
      <c r="S643" s="281"/>
      <c r="T643" s="281"/>
      <c r="U643" s="281"/>
    </row>
    <row r="644" spans="1:21" ht="12" customHeight="1" x14ac:dyDescent="0.3">
      <c r="A644" s="347" t="str">
        <f t="shared" si="169"/>
        <v>Exclude</v>
      </c>
      <c r="D644" s="425" t="s">
        <v>1316</v>
      </c>
      <c r="E644" s="44" t="s">
        <v>215</v>
      </c>
      <c r="F644" s="10" t="s">
        <v>487</v>
      </c>
      <c r="G644" s="21"/>
      <c r="H644" s="12" t="s">
        <v>2</v>
      </c>
      <c r="I644" s="13">
        <v>1200</v>
      </c>
      <c r="J644" s="16">
        <f t="shared" si="172"/>
        <v>0</v>
      </c>
      <c r="K644" s="304"/>
      <c r="L644" s="298"/>
      <c r="M644" s="298">
        <f t="shared" si="171"/>
        <v>0</v>
      </c>
      <c r="N644" s="16"/>
      <c r="O644" s="104"/>
      <c r="Q644" s="281"/>
      <c r="R644" s="281"/>
      <c r="S644" s="281"/>
      <c r="T644" s="281"/>
      <c r="U644" s="281"/>
    </row>
    <row r="645" spans="1:21" ht="12" customHeight="1" x14ac:dyDescent="0.3">
      <c r="A645" s="347" t="str">
        <f t="shared" si="169"/>
        <v>Exclude</v>
      </c>
      <c r="D645" s="425"/>
      <c r="E645" s="36"/>
      <c r="F645" s="10"/>
      <c r="G645" s="21"/>
      <c r="H645" s="12"/>
      <c r="I645" s="13"/>
      <c r="J645" s="16"/>
      <c r="K645" s="304"/>
      <c r="L645" s="298"/>
      <c r="M645" s="298"/>
      <c r="N645" s="16"/>
      <c r="O645" s="104"/>
      <c r="Q645" s="281"/>
      <c r="R645" s="281"/>
      <c r="S645" s="281"/>
      <c r="T645" s="281"/>
      <c r="U645" s="281"/>
    </row>
    <row r="646" spans="1:21" ht="12" customHeight="1" x14ac:dyDescent="0.3">
      <c r="A646" s="347" t="str">
        <f t="shared" si="169"/>
        <v>Exclude</v>
      </c>
      <c r="D646" s="425"/>
      <c r="E646" s="39"/>
      <c r="F646" s="10"/>
      <c r="G646" s="21"/>
      <c r="H646" s="12"/>
      <c r="I646" s="13"/>
      <c r="J646" s="16"/>
      <c r="K646" s="301"/>
      <c r="L646" s="298"/>
      <c r="M646" s="298"/>
      <c r="N646" s="16"/>
      <c r="O646" s="114"/>
      <c r="Q646" s="281"/>
      <c r="R646" s="281"/>
      <c r="S646" s="281"/>
      <c r="T646" s="281"/>
      <c r="U646" s="281"/>
    </row>
    <row r="647" spans="1:21" ht="15.75" customHeight="1" x14ac:dyDescent="0.3">
      <c r="A647" s="347" t="str">
        <f>IF(J647=0,"Exclude","x")</f>
        <v>Exclude</v>
      </c>
      <c r="D647" s="424" t="s">
        <v>814</v>
      </c>
      <c r="E647" s="69" t="s">
        <v>639</v>
      </c>
      <c r="F647" s="56"/>
      <c r="G647" s="57"/>
      <c r="H647" s="58"/>
      <c r="I647" s="59"/>
      <c r="J647" s="60">
        <f>SUBTOTAL(9,J648:J664)</f>
        <v>0</v>
      </c>
      <c r="K647" s="59">
        <f>IFERROR(J647/$G$6,0)</f>
        <v>0</v>
      </c>
      <c r="L647" s="309"/>
      <c r="M647" s="60"/>
      <c r="N647" s="59">
        <f>SUM(M648:M664)</f>
        <v>0</v>
      </c>
      <c r="O647" s="435">
        <f>IFERROR(N647/$G$6,0)</f>
        <v>0</v>
      </c>
      <c r="Q647" s="281"/>
      <c r="R647" s="281"/>
      <c r="S647" s="281"/>
      <c r="T647" s="281"/>
      <c r="U647" s="281"/>
    </row>
    <row r="648" spans="1:21" x14ac:dyDescent="0.3">
      <c r="A648" s="347" t="str">
        <f t="shared" ref="A648:A664" si="173">A647</f>
        <v>Exclude</v>
      </c>
      <c r="D648" s="426" t="s">
        <v>1317</v>
      </c>
      <c r="E648" s="39" t="s">
        <v>1203</v>
      </c>
      <c r="F648" s="24"/>
      <c r="G648" s="292"/>
      <c r="H648" s="25"/>
      <c r="I648" s="293"/>
      <c r="J648" s="293"/>
      <c r="K648" s="301"/>
      <c r="L648" s="300">
        <v>0</v>
      </c>
      <c r="M648" s="301">
        <f>L648</f>
        <v>0</v>
      </c>
      <c r="N648" s="293"/>
      <c r="O648" s="294"/>
      <c r="Q648" s="282"/>
      <c r="R648" s="281"/>
      <c r="S648" s="283"/>
      <c r="T648" s="283"/>
      <c r="U648" s="283"/>
    </row>
    <row r="649" spans="1:21" ht="12" customHeight="1" x14ac:dyDescent="0.3">
      <c r="A649" s="347" t="str">
        <f t="shared" si="173"/>
        <v>Exclude</v>
      </c>
      <c r="D649" s="425" t="s">
        <v>1317</v>
      </c>
      <c r="E649" s="44" t="s">
        <v>1000</v>
      </c>
      <c r="F649" s="10"/>
      <c r="G649" s="21"/>
      <c r="H649" s="12" t="s">
        <v>2</v>
      </c>
      <c r="I649" s="13">
        <v>900</v>
      </c>
      <c r="J649" s="16">
        <f>G649*I649</f>
        <v>0</v>
      </c>
      <c r="K649" s="304"/>
      <c r="L649" s="298"/>
      <c r="M649" s="298">
        <f t="shared" ref="M649:M660" si="174">IF(K649="x","Included in Sub Bid",J649)</f>
        <v>0</v>
      </c>
      <c r="N649" s="16"/>
      <c r="O649" s="104"/>
      <c r="Q649" s="281"/>
      <c r="R649" s="281"/>
      <c r="S649" s="281"/>
      <c r="T649" s="281"/>
      <c r="U649" s="281"/>
    </row>
    <row r="650" spans="1:21" ht="12" customHeight="1" x14ac:dyDescent="0.3">
      <c r="A650" s="347" t="str">
        <f t="shared" si="173"/>
        <v>Exclude</v>
      </c>
      <c r="D650" s="425" t="s">
        <v>1317</v>
      </c>
      <c r="E650" s="44" t="s">
        <v>1001</v>
      </c>
      <c r="F650" s="10"/>
      <c r="G650" s="21"/>
      <c r="H650" s="12" t="s">
        <v>2</v>
      </c>
      <c r="I650" s="13">
        <v>1200</v>
      </c>
      <c r="J650" s="16">
        <f>G650*I650</f>
        <v>0</v>
      </c>
      <c r="K650" s="304"/>
      <c r="L650" s="298"/>
      <c r="M650" s="298">
        <f t="shared" si="174"/>
        <v>0</v>
      </c>
      <c r="N650" s="16"/>
      <c r="O650" s="104"/>
      <c r="Q650" s="281"/>
      <c r="R650" s="281"/>
      <c r="S650" s="281"/>
      <c r="T650" s="281"/>
      <c r="U650" s="281"/>
    </row>
    <row r="651" spans="1:21" ht="12" customHeight="1" x14ac:dyDescent="0.3">
      <c r="A651" s="347" t="str">
        <f t="shared" si="173"/>
        <v>Exclude</v>
      </c>
      <c r="D651" s="425" t="s">
        <v>1317</v>
      </c>
      <c r="E651" s="44" t="s">
        <v>1145</v>
      </c>
      <c r="F651" s="10"/>
      <c r="G651" s="21"/>
      <c r="H651" s="12" t="s">
        <v>2</v>
      </c>
      <c r="I651" s="13">
        <v>2000</v>
      </c>
      <c r="J651" s="16">
        <f t="shared" ref="J651:J653" si="175">G651*I651</f>
        <v>0</v>
      </c>
      <c r="K651" s="304"/>
      <c r="L651" s="298"/>
      <c r="M651" s="298">
        <f t="shared" si="174"/>
        <v>0</v>
      </c>
      <c r="N651" s="16"/>
      <c r="O651" s="104"/>
      <c r="Q651" s="281"/>
      <c r="R651" s="281"/>
      <c r="S651" s="281"/>
      <c r="T651" s="281"/>
      <c r="U651" s="281"/>
    </row>
    <row r="652" spans="1:21" ht="12" customHeight="1" x14ac:dyDescent="0.3">
      <c r="A652" s="347" t="str">
        <f t="shared" si="173"/>
        <v>Exclude</v>
      </c>
      <c r="D652" s="425" t="s">
        <v>1317</v>
      </c>
      <c r="E652" s="44" t="s">
        <v>1146</v>
      </c>
      <c r="F652" s="10"/>
      <c r="G652" s="21"/>
      <c r="H652" s="12" t="s">
        <v>2</v>
      </c>
      <c r="I652" s="13">
        <v>2400</v>
      </c>
      <c r="J652" s="16">
        <f t="shared" ref="J652" si="176">G652*I652</f>
        <v>0</v>
      </c>
      <c r="K652" s="304"/>
      <c r="L652" s="298"/>
      <c r="M652" s="298">
        <f t="shared" si="174"/>
        <v>0</v>
      </c>
      <c r="N652" s="16"/>
      <c r="O652" s="104"/>
      <c r="Q652" s="281"/>
      <c r="R652" s="281"/>
      <c r="S652" s="281"/>
      <c r="T652" s="281"/>
      <c r="U652" s="281"/>
    </row>
    <row r="653" spans="1:21" ht="12" customHeight="1" x14ac:dyDescent="0.3">
      <c r="A653" s="347" t="str">
        <f t="shared" si="173"/>
        <v>Exclude</v>
      </c>
      <c r="D653" s="425" t="s">
        <v>1317</v>
      </c>
      <c r="E653" s="44" t="s">
        <v>396</v>
      </c>
      <c r="F653" s="10" t="s">
        <v>416</v>
      </c>
      <c r="G653" s="21"/>
      <c r="H653" s="12" t="s">
        <v>2</v>
      </c>
      <c r="I653" s="13"/>
      <c r="J653" s="16">
        <f t="shared" si="175"/>
        <v>0</v>
      </c>
      <c r="K653" s="304"/>
      <c r="L653" s="298"/>
      <c r="M653" s="298">
        <f t="shared" si="174"/>
        <v>0</v>
      </c>
      <c r="N653" s="16"/>
      <c r="O653" s="104"/>
      <c r="Q653" s="281"/>
      <c r="R653" s="281"/>
      <c r="S653" s="281"/>
      <c r="T653" s="281"/>
      <c r="U653" s="281"/>
    </row>
    <row r="654" spans="1:21" ht="12" customHeight="1" x14ac:dyDescent="0.3">
      <c r="A654" s="347" t="str">
        <f t="shared" si="173"/>
        <v>Exclude</v>
      </c>
      <c r="D654" s="425" t="s">
        <v>1317</v>
      </c>
      <c r="E654" s="44" t="s">
        <v>376</v>
      </c>
      <c r="F654" s="10"/>
      <c r="G654" s="21">
        <f>SUM(G651:G652)</f>
        <v>0</v>
      </c>
      <c r="H654" s="12" t="s">
        <v>2</v>
      </c>
      <c r="I654" s="13">
        <v>750</v>
      </c>
      <c r="J654" s="16">
        <f>G654*I654</f>
        <v>0</v>
      </c>
      <c r="K654" s="304"/>
      <c r="L654" s="298"/>
      <c r="M654" s="298">
        <f t="shared" si="174"/>
        <v>0</v>
      </c>
      <c r="N654" s="16"/>
      <c r="O654" s="104"/>
      <c r="Q654" s="281"/>
      <c r="R654" s="281"/>
      <c r="S654" s="281"/>
      <c r="T654" s="281"/>
      <c r="U654" s="281"/>
    </row>
    <row r="655" spans="1:21" ht="12" customHeight="1" x14ac:dyDescent="0.3">
      <c r="A655" s="347" t="str">
        <f t="shared" si="173"/>
        <v>Exclude</v>
      </c>
      <c r="D655" s="425" t="s">
        <v>1317</v>
      </c>
      <c r="E655" s="44" t="s">
        <v>480</v>
      </c>
      <c r="F655" s="10"/>
      <c r="G655" s="21"/>
      <c r="H655" s="12" t="s">
        <v>2</v>
      </c>
      <c r="I655" s="13"/>
      <c r="J655" s="16">
        <f t="shared" ref="J655:J660" si="177">G655*I655</f>
        <v>0</v>
      </c>
      <c r="K655" s="304"/>
      <c r="L655" s="298"/>
      <c r="M655" s="298">
        <f t="shared" si="174"/>
        <v>0</v>
      </c>
      <c r="N655" s="16"/>
      <c r="O655" s="104"/>
      <c r="Q655" s="281"/>
      <c r="R655" s="281"/>
      <c r="S655" s="281"/>
      <c r="T655" s="281"/>
      <c r="U655" s="281"/>
    </row>
    <row r="656" spans="1:21" ht="12" customHeight="1" x14ac:dyDescent="0.3">
      <c r="A656" s="347" t="str">
        <f t="shared" si="173"/>
        <v>Exclude</v>
      </c>
      <c r="D656" s="425" t="s">
        <v>1317</v>
      </c>
      <c r="E656" s="44" t="s">
        <v>776</v>
      </c>
      <c r="F656" s="10"/>
      <c r="G656" s="21"/>
      <c r="H656" s="12" t="s">
        <v>2</v>
      </c>
      <c r="I656" s="13">
        <v>3000</v>
      </c>
      <c r="J656" s="16">
        <f t="shared" ref="J656" si="178">G656*I656</f>
        <v>0</v>
      </c>
      <c r="K656" s="304"/>
      <c r="L656" s="298"/>
      <c r="M656" s="298">
        <f t="shared" si="174"/>
        <v>0</v>
      </c>
      <c r="N656" s="16"/>
      <c r="O656" s="104"/>
      <c r="Q656" s="281"/>
      <c r="R656" s="281"/>
      <c r="S656" s="281"/>
      <c r="T656" s="281"/>
      <c r="U656" s="281"/>
    </row>
    <row r="657" spans="1:21" ht="12" customHeight="1" x14ac:dyDescent="0.3">
      <c r="A657" s="347" t="str">
        <f t="shared" si="173"/>
        <v>Exclude</v>
      </c>
      <c r="D657" s="425" t="s">
        <v>1317</v>
      </c>
      <c r="E657" s="44" t="s">
        <v>483</v>
      </c>
      <c r="F657" s="10"/>
      <c r="G657" s="21"/>
      <c r="H657" s="12" t="s">
        <v>2</v>
      </c>
      <c r="I657" s="13"/>
      <c r="J657" s="16">
        <f t="shared" si="177"/>
        <v>0</v>
      </c>
      <c r="K657" s="304"/>
      <c r="L657" s="298"/>
      <c r="M657" s="298">
        <f t="shared" si="174"/>
        <v>0</v>
      </c>
      <c r="N657" s="16"/>
      <c r="O657" s="104"/>
      <c r="Q657" s="281"/>
      <c r="R657" s="281"/>
      <c r="S657" s="281"/>
      <c r="T657" s="281"/>
      <c r="U657" s="281"/>
    </row>
    <row r="658" spans="1:21" ht="12" customHeight="1" x14ac:dyDescent="0.3">
      <c r="A658" s="347" t="str">
        <f t="shared" si="173"/>
        <v>Exclude</v>
      </c>
      <c r="D658" s="425" t="s">
        <v>1317</v>
      </c>
      <c r="E658" s="44" t="s">
        <v>481</v>
      </c>
      <c r="F658" s="10"/>
      <c r="G658" s="21"/>
      <c r="H658" s="12" t="s">
        <v>2</v>
      </c>
      <c r="I658" s="13"/>
      <c r="J658" s="16">
        <f t="shared" si="177"/>
        <v>0</v>
      </c>
      <c r="K658" s="304"/>
      <c r="L658" s="298"/>
      <c r="M658" s="298">
        <f t="shared" si="174"/>
        <v>0</v>
      </c>
      <c r="N658" s="16"/>
      <c r="O658" s="104"/>
      <c r="Q658" s="281"/>
      <c r="R658" s="281"/>
      <c r="S658" s="281"/>
      <c r="T658" s="281"/>
      <c r="U658" s="281"/>
    </row>
    <row r="659" spans="1:21" x14ac:dyDescent="0.3">
      <c r="A659" s="347" t="str">
        <f t="shared" si="173"/>
        <v>Exclude</v>
      </c>
      <c r="D659" s="425" t="s">
        <v>1317</v>
      </c>
      <c r="E659" s="36" t="s">
        <v>267</v>
      </c>
      <c r="F659" s="11"/>
      <c r="G659" s="21">
        <f>G649+G650</f>
        <v>0</v>
      </c>
      <c r="H659" s="11" t="s">
        <v>16</v>
      </c>
      <c r="I659" s="13">
        <v>200</v>
      </c>
      <c r="J659" s="16">
        <f t="shared" si="177"/>
        <v>0</v>
      </c>
      <c r="K659" s="304"/>
      <c r="L659" s="298"/>
      <c r="M659" s="298">
        <f t="shared" si="174"/>
        <v>0</v>
      </c>
      <c r="N659" s="16"/>
      <c r="O659" s="104"/>
      <c r="Q659" s="281"/>
      <c r="R659" s="281"/>
      <c r="S659" s="281"/>
      <c r="T659" s="281"/>
      <c r="U659" s="281"/>
    </row>
    <row r="660" spans="1:21" ht="12" customHeight="1" x14ac:dyDescent="0.3">
      <c r="A660" s="347" t="str">
        <f t="shared" si="173"/>
        <v>Exclude</v>
      </c>
      <c r="D660" s="425" t="s">
        <v>1317</v>
      </c>
      <c r="E660" s="44" t="s">
        <v>482</v>
      </c>
      <c r="F660" s="10"/>
      <c r="G660" s="21"/>
      <c r="H660" s="12" t="s">
        <v>2</v>
      </c>
      <c r="I660" s="13"/>
      <c r="J660" s="16">
        <f t="shared" si="177"/>
        <v>0</v>
      </c>
      <c r="K660" s="304"/>
      <c r="L660" s="298"/>
      <c r="M660" s="298">
        <f t="shared" si="174"/>
        <v>0</v>
      </c>
      <c r="N660" s="16"/>
      <c r="O660" s="104"/>
      <c r="Q660" s="281"/>
      <c r="R660" s="281"/>
      <c r="S660" s="281"/>
      <c r="T660" s="281"/>
      <c r="U660" s="281"/>
    </row>
    <row r="661" spans="1:21" x14ac:dyDescent="0.3">
      <c r="A661" s="347" t="str">
        <f t="shared" si="173"/>
        <v>Exclude</v>
      </c>
      <c r="D661" s="427" t="s">
        <v>1317</v>
      </c>
      <c r="E661" s="199" t="s">
        <v>943</v>
      </c>
      <c r="F661" s="200"/>
      <c r="G661" s="201"/>
      <c r="H661" s="202" t="s">
        <v>0</v>
      </c>
      <c r="I661" s="203"/>
      <c r="J661" s="203"/>
      <c r="K661" s="304"/>
      <c r="L661" s="302"/>
      <c r="M661" s="302">
        <f>IF(K661="x","Included in Sub Bid",G661*I661)</f>
        <v>0</v>
      </c>
      <c r="N661" s="16"/>
      <c r="O661" s="104"/>
      <c r="Q661" s="281"/>
      <c r="R661" s="281"/>
      <c r="S661" s="281"/>
      <c r="T661" s="281"/>
      <c r="U661" s="281"/>
    </row>
    <row r="662" spans="1:21" x14ac:dyDescent="0.3">
      <c r="A662" s="347" t="str">
        <f t="shared" si="173"/>
        <v>Exclude</v>
      </c>
      <c r="D662" s="427" t="s">
        <v>1317</v>
      </c>
      <c r="E662" s="199" t="s">
        <v>944</v>
      </c>
      <c r="F662" s="200"/>
      <c r="G662" s="201"/>
      <c r="H662" s="202" t="s">
        <v>0</v>
      </c>
      <c r="I662" s="203"/>
      <c r="J662" s="203"/>
      <c r="K662" s="304"/>
      <c r="L662" s="302"/>
      <c r="M662" s="302">
        <f>IF(K662="x","Included in Sub Bid",G662*I662)</f>
        <v>0</v>
      </c>
      <c r="N662" s="16"/>
      <c r="O662" s="104"/>
      <c r="Q662" s="281"/>
      <c r="R662" s="281"/>
      <c r="S662" s="281"/>
      <c r="T662" s="281"/>
      <c r="U662" s="281"/>
    </row>
    <row r="663" spans="1:21" ht="12" customHeight="1" x14ac:dyDescent="0.3">
      <c r="A663" s="347" t="str">
        <f t="shared" si="173"/>
        <v>Exclude</v>
      </c>
      <c r="D663" s="425"/>
      <c r="E663" s="44"/>
      <c r="F663" s="10"/>
      <c r="G663" s="21"/>
      <c r="H663" s="12"/>
      <c r="I663" s="13"/>
      <c r="J663" s="16"/>
      <c r="K663" s="304"/>
      <c r="L663" s="298"/>
      <c r="M663" s="298"/>
      <c r="N663" s="16"/>
      <c r="O663" s="104"/>
      <c r="Q663" s="281"/>
      <c r="R663" s="281"/>
      <c r="S663" s="281"/>
      <c r="T663" s="281"/>
      <c r="U663" s="281"/>
    </row>
    <row r="664" spans="1:21" ht="12" customHeight="1" x14ac:dyDescent="0.3">
      <c r="A664" s="347" t="str">
        <f t="shared" si="173"/>
        <v>Exclude</v>
      </c>
      <c r="D664" s="425"/>
      <c r="E664" s="39"/>
      <c r="F664" s="10"/>
      <c r="G664" s="21"/>
      <c r="H664" s="19"/>
      <c r="I664" s="16"/>
      <c r="J664" s="16"/>
      <c r="K664" s="301"/>
      <c r="L664" s="298"/>
      <c r="M664" s="298"/>
      <c r="N664" s="16"/>
      <c r="O664" s="114"/>
      <c r="Q664" s="281"/>
      <c r="R664" s="281"/>
      <c r="S664" s="281"/>
      <c r="T664" s="281"/>
      <c r="U664" s="281"/>
    </row>
    <row r="665" spans="1:21" ht="15.75" customHeight="1" x14ac:dyDescent="0.3">
      <c r="A665" s="347" t="str">
        <f>IF(J665=0,"Exclude","x")</f>
        <v>Exclude</v>
      </c>
      <c r="D665" s="424" t="s">
        <v>814</v>
      </c>
      <c r="E665" s="69" t="s">
        <v>1044</v>
      </c>
      <c r="F665" s="56"/>
      <c r="G665" s="57"/>
      <c r="H665" s="58"/>
      <c r="I665" s="59"/>
      <c r="J665" s="60">
        <f>SUBTOTAL(9,J666:J685)</f>
        <v>0</v>
      </c>
      <c r="K665" s="59">
        <f>IFERROR(J665/$G$6,0)</f>
        <v>0</v>
      </c>
      <c r="L665" s="309"/>
      <c r="M665" s="60"/>
      <c r="N665" s="59">
        <f>SUM(M666:M685)</f>
        <v>0</v>
      </c>
      <c r="O665" s="435">
        <f>IFERROR(N665/$G$6,0)</f>
        <v>0</v>
      </c>
      <c r="Q665" s="281"/>
      <c r="R665" s="281"/>
      <c r="S665" s="281"/>
      <c r="T665" s="281"/>
      <c r="U665" s="281"/>
    </row>
    <row r="666" spans="1:21" x14ac:dyDescent="0.3">
      <c r="A666" s="347" t="str">
        <f t="shared" ref="A666:A685" si="179">A665</f>
        <v>Exclude</v>
      </c>
      <c r="D666" s="426" t="s">
        <v>1318</v>
      </c>
      <c r="E666" s="39" t="s">
        <v>1203</v>
      </c>
      <c r="F666" s="24"/>
      <c r="G666" s="292"/>
      <c r="H666" s="25"/>
      <c r="I666" s="293"/>
      <c r="J666" s="293"/>
      <c r="K666" s="301"/>
      <c r="L666" s="300">
        <v>0</v>
      </c>
      <c r="M666" s="301">
        <f>L666</f>
        <v>0</v>
      </c>
      <c r="N666" s="293"/>
      <c r="O666" s="294"/>
      <c r="Q666" s="282"/>
      <c r="R666" s="281"/>
      <c r="S666" s="283"/>
      <c r="T666" s="283"/>
      <c r="U666" s="283"/>
    </row>
    <row r="667" spans="1:21" ht="12" customHeight="1" x14ac:dyDescent="0.3">
      <c r="A667" s="347" t="str">
        <f t="shared" si="179"/>
        <v>Exclude</v>
      </c>
      <c r="D667" s="425" t="s">
        <v>1318</v>
      </c>
      <c r="E667" s="44" t="s">
        <v>156</v>
      </c>
      <c r="F667" s="10"/>
      <c r="G667" s="21"/>
      <c r="H667" s="12" t="s">
        <v>2</v>
      </c>
      <c r="I667" s="13">
        <v>1800</v>
      </c>
      <c r="J667" s="16">
        <f>G667*I667</f>
        <v>0</v>
      </c>
      <c r="K667" s="304"/>
      <c r="L667" s="298"/>
      <c r="M667" s="298">
        <f t="shared" ref="M667:M681" si="180">IF(K667="x","Included in Sub Bid",J667)</f>
        <v>0</v>
      </c>
      <c r="N667" s="16"/>
      <c r="O667" s="104"/>
      <c r="Q667" s="281"/>
      <c r="R667" s="281"/>
      <c r="S667" s="281"/>
      <c r="T667" s="281"/>
      <c r="U667" s="281"/>
    </row>
    <row r="668" spans="1:21" ht="12" customHeight="1" x14ac:dyDescent="0.3">
      <c r="A668" s="347" t="str">
        <f t="shared" si="179"/>
        <v>Exclude</v>
      </c>
      <c r="D668" s="425" t="s">
        <v>1318</v>
      </c>
      <c r="E668" s="44" t="s">
        <v>102</v>
      </c>
      <c r="F668" s="10"/>
      <c r="G668" s="21"/>
      <c r="H668" s="12" t="s">
        <v>16</v>
      </c>
      <c r="I668" s="13">
        <v>2500</v>
      </c>
      <c r="J668" s="16">
        <f t="shared" ref="J668:J671" si="181">G668*I668</f>
        <v>0</v>
      </c>
      <c r="K668" s="304"/>
      <c r="L668" s="298"/>
      <c r="M668" s="298">
        <f t="shared" si="180"/>
        <v>0</v>
      </c>
      <c r="N668" s="16"/>
      <c r="O668" s="104"/>
      <c r="Q668" s="281"/>
      <c r="R668" s="281"/>
      <c r="S668" s="281"/>
      <c r="T668" s="281"/>
      <c r="U668" s="281"/>
    </row>
    <row r="669" spans="1:21" ht="12" customHeight="1" x14ac:dyDescent="0.3">
      <c r="A669" s="347" t="str">
        <f t="shared" si="179"/>
        <v>Exclude</v>
      </c>
      <c r="D669" s="425" t="s">
        <v>1318</v>
      </c>
      <c r="E669" s="44" t="s">
        <v>547</v>
      </c>
      <c r="F669" s="10"/>
      <c r="G669" s="21"/>
      <c r="H669" s="12" t="s">
        <v>2</v>
      </c>
      <c r="I669" s="13"/>
      <c r="J669" s="16">
        <f t="shared" si="181"/>
        <v>0</v>
      </c>
      <c r="K669" s="304"/>
      <c r="L669" s="298"/>
      <c r="M669" s="298">
        <f t="shared" si="180"/>
        <v>0</v>
      </c>
      <c r="N669" s="16"/>
      <c r="O669" s="104"/>
      <c r="Q669" s="281"/>
      <c r="R669" s="281"/>
      <c r="S669" s="281"/>
      <c r="T669" s="281"/>
      <c r="U669" s="281"/>
    </row>
    <row r="670" spans="1:21" ht="12" customHeight="1" x14ac:dyDescent="0.3">
      <c r="A670" s="347" t="str">
        <f t="shared" si="179"/>
        <v>Exclude</v>
      </c>
      <c r="D670" s="425" t="s">
        <v>1318</v>
      </c>
      <c r="E670" s="44" t="s">
        <v>548</v>
      </c>
      <c r="F670" s="10"/>
      <c r="G670" s="21"/>
      <c r="H670" s="12" t="s">
        <v>2</v>
      </c>
      <c r="I670" s="13"/>
      <c r="J670" s="16">
        <f t="shared" si="181"/>
        <v>0</v>
      </c>
      <c r="K670" s="304"/>
      <c r="L670" s="298"/>
      <c r="M670" s="298">
        <f t="shared" si="180"/>
        <v>0</v>
      </c>
      <c r="N670" s="16"/>
      <c r="O670" s="104"/>
      <c r="Q670" s="281"/>
      <c r="R670" s="281"/>
      <c r="S670" s="281"/>
      <c r="T670" s="281"/>
      <c r="U670" s="281"/>
    </row>
    <row r="671" spans="1:21" ht="12" customHeight="1" x14ac:dyDescent="0.3">
      <c r="A671" s="347" t="str">
        <f t="shared" si="179"/>
        <v>Exclude</v>
      </c>
      <c r="D671" s="425" t="s">
        <v>1318</v>
      </c>
      <c r="E671" s="44" t="s">
        <v>777</v>
      </c>
      <c r="F671" s="10" t="s">
        <v>562</v>
      </c>
      <c r="G671" s="21"/>
      <c r="H671" s="12" t="s">
        <v>1</v>
      </c>
      <c r="I671" s="13">
        <v>40</v>
      </c>
      <c r="J671" s="16">
        <f t="shared" si="181"/>
        <v>0</v>
      </c>
      <c r="K671" s="304"/>
      <c r="L671" s="298"/>
      <c r="M671" s="298">
        <f t="shared" si="180"/>
        <v>0</v>
      </c>
      <c r="N671" s="16"/>
      <c r="O671" s="104"/>
      <c r="Q671" s="281"/>
      <c r="R671" s="281"/>
      <c r="S671" s="281"/>
      <c r="T671" s="281"/>
      <c r="U671" s="281"/>
    </row>
    <row r="672" spans="1:21" ht="12" customHeight="1" x14ac:dyDescent="0.3">
      <c r="A672" s="347" t="str">
        <f t="shared" si="179"/>
        <v>Exclude</v>
      </c>
      <c r="D672" s="425" t="s">
        <v>1318</v>
      </c>
      <c r="E672" s="44" t="s">
        <v>777</v>
      </c>
      <c r="F672" s="10" t="s">
        <v>778</v>
      </c>
      <c r="G672" s="21"/>
      <c r="H672" s="12" t="s">
        <v>1</v>
      </c>
      <c r="I672" s="13">
        <v>80</v>
      </c>
      <c r="J672" s="16">
        <f t="shared" ref="J672:J681" si="182">G672*I672</f>
        <v>0</v>
      </c>
      <c r="K672" s="304"/>
      <c r="L672" s="298"/>
      <c r="M672" s="298">
        <f t="shared" si="180"/>
        <v>0</v>
      </c>
      <c r="N672" s="16"/>
      <c r="O672" s="104"/>
      <c r="Q672" s="281"/>
      <c r="R672" s="281"/>
      <c r="S672" s="281"/>
      <c r="T672" s="281"/>
      <c r="U672" s="281"/>
    </row>
    <row r="673" spans="1:21" ht="12" customHeight="1" x14ac:dyDescent="0.3">
      <c r="A673" s="347" t="str">
        <f t="shared" si="179"/>
        <v>Exclude</v>
      </c>
      <c r="D673" s="425" t="s">
        <v>1318</v>
      </c>
      <c r="E673" s="44" t="s">
        <v>457</v>
      </c>
      <c r="F673" s="10" t="s">
        <v>562</v>
      </c>
      <c r="G673" s="21"/>
      <c r="H673" s="12" t="s">
        <v>1</v>
      </c>
      <c r="I673" s="13">
        <v>70</v>
      </c>
      <c r="J673" s="16">
        <f t="shared" si="182"/>
        <v>0</v>
      </c>
      <c r="K673" s="304"/>
      <c r="L673" s="298"/>
      <c r="M673" s="298">
        <f t="shared" si="180"/>
        <v>0</v>
      </c>
      <c r="N673" s="16"/>
      <c r="O673" s="104"/>
      <c r="Q673" s="281"/>
      <c r="R673" s="281"/>
      <c r="S673" s="281"/>
      <c r="T673" s="281"/>
      <c r="U673" s="281"/>
    </row>
    <row r="674" spans="1:21" ht="12" customHeight="1" x14ac:dyDescent="0.3">
      <c r="A674" s="347" t="str">
        <f t="shared" si="179"/>
        <v>Exclude</v>
      </c>
      <c r="D674" s="425" t="s">
        <v>1318</v>
      </c>
      <c r="E674" s="44" t="s">
        <v>457</v>
      </c>
      <c r="F674" s="10" t="s">
        <v>778</v>
      </c>
      <c r="G674" s="21"/>
      <c r="H674" s="12" t="s">
        <v>1</v>
      </c>
      <c r="I674" s="13">
        <v>150</v>
      </c>
      <c r="J674" s="16">
        <f t="shared" si="182"/>
        <v>0</v>
      </c>
      <c r="K674" s="304"/>
      <c r="L674" s="298"/>
      <c r="M674" s="298">
        <f t="shared" si="180"/>
        <v>0</v>
      </c>
      <c r="N674" s="16"/>
      <c r="O674" s="104"/>
      <c r="Q674" s="281"/>
      <c r="R674" s="281"/>
      <c r="S674" s="281"/>
      <c r="T674" s="281"/>
      <c r="U674" s="281"/>
    </row>
    <row r="675" spans="1:21" ht="12" customHeight="1" x14ac:dyDescent="0.3">
      <c r="A675" s="347" t="str">
        <f t="shared" si="179"/>
        <v>Exclude</v>
      </c>
      <c r="D675" s="425" t="s">
        <v>1318</v>
      </c>
      <c r="E675" s="44" t="s">
        <v>103</v>
      </c>
      <c r="F675" s="10"/>
      <c r="H675" s="12" t="s">
        <v>1</v>
      </c>
      <c r="I675" s="13"/>
      <c r="J675" s="16">
        <f t="shared" si="182"/>
        <v>0</v>
      </c>
      <c r="K675" s="304"/>
      <c r="L675" s="298"/>
      <c r="M675" s="298">
        <f t="shared" si="180"/>
        <v>0</v>
      </c>
      <c r="N675" s="16"/>
      <c r="O675" s="104"/>
      <c r="Q675" s="281"/>
      <c r="R675" s="281"/>
      <c r="S675" s="281"/>
      <c r="T675" s="281"/>
      <c r="U675" s="281"/>
    </row>
    <row r="676" spans="1:21" ht="12" customHeight="1" x14ac:dyDescent="0.3">
      <c r="A676" s="347" t="str">
        <f t="shared" si="179"/>
        <v>Exclude</v>
      </c>
      <c r="D676" s="425" t="s">
        <v>1318</v>
      </c>
      <c r="E676" s="44" t="s">
        <v>333</v>
      </c>
      <c r="F676" s="10" t="s">
        <v>562</v>
      </c>
      <c r="G676" s="21"/>
      <c r="H676" s="12" t="s">
        <v>1</v>
      </c>
      <c r="I676" s="13">
        <v>60</v>
      </c>
      <c r="J676" s="16">
        <f t="shared" si="182"/>
        <v>0</v>
      </c>
      <c r="K676" s="304"/>
      <c r="L676" s="298"/>
      <c r="M676" s="298">
        <f t="shared" si="180"/>
        <v>0</v>
      </c>
      <c r="N676" s="16"/>
      <c r="O676" s="104"/>
      <c r="Q676" s="281"/>
      <c r="R676" s="281"/>
      <c r="S676" s="281"/>
      <c r="T676" s="281"/>
      <c r="U676" s="281"/>
    </row>
    <row r="677" spans="1:21" ht="12" customHeight="1" x14ac:dyDescent="0.3">
      <c r="A677" s="347" t="str">
        <f t="shared" si="179"/>
        <v>Exclude</v>
      </c>
      <c r="D677" s="425" t="s">
        <v>1318</v>
      </c>
      <c r="E677" s="44" t="s">
        <v>333</v>
      </c>
      <c r="F677" s="10" t="s">
        <v>778</v>
      </c>
      <c r="G677" s="21"/>
      <c r="H677" s="12" t="s">
        <v>1</v>
      </c>
      <c r="I677" s="13">
        <v>96</v>
      </c>
      <c r="J677" s="16">
        <f t="shared" si="182"/>
        <v>0</v>
      </c>
      <c r="K677" s="304"/>
      <c r="L677" s="298"/>
      <c r="M677" s="298">
        <f t="shared" si="180"/>
        <v>0</v>
      </c>
      <c r="N677" s="16"/>
      <c r="O677" s="104"/>
      <c r="Q677" s="281"/>
      <c r="R677" s="281"/>
      <c r="S677" s="281"/>
      <c r="T677" s="281"/>
      <c r="U677" s="281"/>
    </row>
    <row r="678" spans="1:21" ht="12" customHeight="1" x14ac:dyDescent="0.3">
      <c r="A678" s="347" t="str">
        <f t="shared" si="179"/>
        <v>Exclude</v>
      </c>
      <c r="D678" s="425" t="s">
        <v>1318</v>
      </c>
      <c r="E678" s="44" t="s">
        <v>780</v>
      </c>
      <c r="F678" s="10"/>
      <c r="G678" s="21"/>
      <c r="H678" s="12" t="s">
        <v>0</v>
      </c>
      <c r="I678" s="13"/>
      <c r="J678" s="16">
        <f t="shared" si="182"/>
        <v>0</v>
      </c>
      <c r="K678" s="304"/>
      <c r="L678" s="298"/>
      <c r="M678" s="298">
        <f t="shared" si="180"/>
        <v>0</v>
      </c>
      <c r="N678" s="16"/>
      <c r="O678" s="104"/>
      <c r="Q678" s="281"/>
      <c r="R678" s="281"/>
      <c r="S678" s="281"/>
      <c r="T678" s="281"/>
      <c r="U678" s="281"/>
    </row>
    <row r="679" spans="1:21" ht="12" customHeight="1" x14ac:dyDescent="0.3">
      <c r="A679" s="347" t="str">
        <f t="shared" si="179"/>
        <v>Exclude</v>
      </c>
      <c r="D679" s="425" t="s">
        <v>1318</v>
      </c>
      <c r="E679" s="44" t="s">
        <v>168</v>
      </c>
      <c r="F679" s="10"/>
      <c r="G679" s="21"/>
      <c r="H679" s="12" t="s">
        <v>1</v>
      </c>
      <c r="I679" s="13"/>
      <c r="J679" s="16">
        <f t="shared" si="182"/>
        <v>0</v>
      </c>
      <c r="K679" s="304"/>
      <c r="L679" s="298"/>
      <c r="M679" s="298">
        <f t="shared" si="180"/>
        <v>0</v>
      </c>
      <c r="N679" s="16"/>
      <c r="O679" s="104"/>
      <c r="Q679" s="281"/>
      <c r="R679" s="281"/>
      <c r="S679" s="281"/>
      <c r="T679" s="281"/>
      <c r="U679" s="281"/>
    </row>
    <row r="680" spans="1:21" ht="12" customHeight="1" x14ac:dyDescent="0.3">
      <c r="A680" s="347" t="str">
        <f t="shared" si="179"/>
        <v>Exclude</v>
      </c>
      <c r="D680" s="425" t="s">
        <v>1318</v>
      </c>
      <c r="E680" s="44" t="s">
        <v>1104</v>
      </c>
      <c r="F680" s="10"/>
      <c r="G680" s="21"/>
      <c r="H680" s="12" t="s">
        <v>1</v>
      </c>
      <c r="I680" s="13"/>
      <c r="J680" s="16">
        <f t="shared" ref="J680" si="183">G680*I680</f>
        <v>0</v>
      </c>
      <c r="K680" s="304"/>
      <c r="L680" s="298"/>
      <c r="M680" s="298">
        <f t="shared" si="180"/>
        <v>0</v>
      </c>
      <c r="N680" s="16"/>
      <c r="O680" s="104"/>
      <c r="Q680" s="281"/>
      <c r="R680" s="281"/>
      <c r="S680" s="281"/>
      <c r="T680" s="281"/>
      <c r="U680" s="281"/>
    </row>
    <row r="681" spans="1:21" ht="12" customHeight="1" x14ac:dyDescent="0.3">
      <c r="A681" s="347" t="str">
        <f t="shared" si="179"/>
        <v>Exclude</v>
      </c>
      <c r="D681" s="425" t="s">
        <v>1318</v>
      </c>
      <c r="E681" s="44" t="s">
        <v>167</v>
      </c>
      <c r="F681" s="10"/>
      <c r="G681" s="21"/>
      <c r="H681" s="12" t="s">
        <v>1</v>
      </c>
      <c r="I681" s="13"/>
      <c r="J681" s="16">
        <f t="shared" si="182"/>
        <v>0</v>
      </c>
      <c r="K681" s="304"/>
      <c r="L681" s="298"/>
      <c r="M681" s="298">
        <f t="shared" si="180"/>
        <v>0</v>
      </c>
      <c r="N681" s="16"/>
      <c r="O681" s="104"/>
      <c r="Q681" s="281"/>
      <c r="R681" s="281"/>
      <c r="S681" s="281"/>
      <c r="T681" s="281"/>
      <c r="U681" s="281"/>
    </row>
    <row r="682" spans="1:21" x14ac:dyDescent="0.3">
      <c r="A682" s="347" t="str">
        <f t="shared" si="179"/>
        <v>Exclude</v>
      </c>
      <c r="D682" s="427" t="s">
        <v>1318</v>
      </c>
      <c r="E682" s="199" t="s">
        <v>943</v>
      </c>
      <c r="F682" s="200"/>
      <c r="G682" s="201"/>
      <c r="H682" s="202" t="s">
        <v>0</v>
      </c>
      <c r="I682" s="203"/>
      <c r="J682" s="203"/>
      <c r="K682" s="304"/>
      <c r="L682" s="302"/>
      <c r="M682" s="302">
        <f>IF(K682="x","Included in Sub Bid",G682*I682)</f>
        <v>0</v>
      </c>
      <c r="N682" s="16"/>
      <c r="O682" s="104"/>
      <c r="Q682" s="281"/>
      <c r="R682" s="281"/>
      <c r="S682" s="281"/>
      <c r="T682" s="281"/>
      <c r="U682" s="281"/>
    </row>
    <row r="683" spans="1:21" x14ac:dyDescent="0.3">
      <c r="A683" s="347" t="str">
        <f t="shared" si="179"/>
        <v>Exclude</v>
      </c>
      <c r="D683" s="427" t="s">
        <v>1318</v>
      </c>
      <c r="E683" s="199" t="s">
        <v>944</v>
      </c>
      <c r="F683" s="200"/>
      <c r="G683" s="201"/>
      <c r="H683" s="202" t="s">
        <v>0</v>
      </c>
      <c r="I683" s="203"/>
      <c r="J683" s="203"/>
      <c r="K683" s="304"/>
      <c r="L683" s="302"/>
      <c r="M683" s="302">
        <f>IF(K683="x","Included in Sub Bid",G683*I683)</f>
        <v>0</v>
      </c>
      <c r="N683" s="16"/>
      <c r="O683" s="104"/>
      <c r="Q683" s="281"/>
      <c r="R683" s="281"/>
      <c r="S683" s="281"/>
      <c r="T683" s="281"/>
      <c r="U683" s="281"/>
    </row>
    <row r="684" spans="1:21" ht="12" customHeight="1" x14ac:dyDescent="0.3">
      <c r="A684" s="347" t="str">
        <f t="shared" si="179"/>
        <v>Exclude</v>
      </c>
      <c r="D684" s="425"/>
      <c r="E684" s="44"/>
      <c r="F684" s="10"/>
      <c r="G684" s="21"/>
      <c r="H684" s="12"/>
      <c r="I684" s="13"/>
      <c r="J684" s="16"/>
      <c r="K684" s="304"/>
      <c r="L684" s="298"/>
      <c r="M684" s="298"/>
      <c r="N684" s="16"/>
      <c r="O684" s="104"/>
      <c r="Q684" s="281"/>
      <c r="R684" s="281"/>
      <c r="S684" s="281"/>
      <c r="T684" s="281"/>
      <c r="U684" s="281"/>
    </row>
    <row r="685" spans="1:21" x14ac:dyDescent="0.3">
      <c r="A685" s="347" t="str">
        <f t="shared" si="179"/>
        <v>Exclude</v>
      </c>
      <c r="D685" s="425"/>
      <c r="E685" s="39"/>
      <c r="F685" s="10"/>
      <c r="G685" s="21"/>
      <c r="H685" s="12"/>
      <c r="I685" s="16"/>
      <c r="J685" s="16"/>
      <c r="K685" s="301"/>
      <c r="L685" s="298"/>
      <c r="M685" s="298"/>
      <c r="N685" s="16"/>
      <c r="O685" s="114"/>
      <c r="Q685" s="281"/>
      <c r="R685" s="281"/>
      <c r="S685" s="281"/>
      <c r="T685" s="281"/>
      <c r="U685" s="281"/>
    </row>
    <row r="686" spans="1:21" ht="15.75" customHeight="1" x14ac:dyDescent="0.35">
      <c r="A686" s="347" t="str">
        <f>IF(J686=0,"Exclude","x")</f>
        <v>Exclude</v>
      </c>
      <c r="D686" s="431"/>
      <c r="E686" s="68" t="s">
        <v>110</v>
      </c>
      <c r="F686" s="63"/>
      <c r="G686" s="64"/>
      <c r="H686" s="65"/>
      <c r="I686" s="66"/>
      <c r="J686" s="66">
        <f>SUBTOTAL(9,J687:J794)</f>
        <v>0</v>
      </c>
      <c r="K686" s="438">
        <f>IFERROR(J686/$G$6,0)</f>
        <v>0</v>
      </c>
      <c r="L686" s="311"/>
      <c r="M686" s="66"/>
      <c r="N686" s="66">
        <f>N687+N704+N713+N734+N753+N780</f>
        <v>0</v>
      </c>
      <c r="O686" s="317">
        <f>IFERROR(N686/$G$6,0)</f>
        <v>0</v>
      </c>
      <c r="Q686" s="281"/>
      <c r="R686" s="281"/>
      <c r="S686" s="281"/>
      <c r="T686" s="281"/>
      <c r="U686" s="281"/>
    </row>
    <row r="687" spans="1:21" ht="15.75" customHeight="1" x14ac:dyDescent="0.3">
      <c r="A687" s="347" t="str">
        <f>IF(J687=0,"Exclude","x")</f>
        <v>Exclude</v>
      </c>
      <c r="D687" s="424" t="s">
        <v>813</v>
      </c>
      <c r="E687" s="69" t="s">
        <v>739</v>
      </c>
      <c r="F687" s="56"/>
      <c r="G687" s="57"/>
      <c r="H687" s="58"/>
      <c r="I687" s="59"/>
      <c r="J687" s="60">
        <f>SUBTOTAL(9,J688:J703)</f>
        <v>0</v>
      </c>
      <c r="K687" s="59">
        <f>IFERROR(J687/$G$6,0)</f>
        <v>0</v>
      </c>
      <c r="L687" s="309"/>
      <c r="M687" s="60"/>
      <c r="N687" s="59">
        <f>SUM(M688:M703)</f>
        <v>0</v>
      </c>
      <c r="O687" s="435">
        <f>IFERROR(N687/$G$6,0)</f>
        <v>0</v>
      </c>
      <c r="Q687" s="281"/>
      <c r="R687" s="281"/>
      <c r="S687" s="281"/>
      <c r="T687" s="281"/>
      <c r="U687" s="281"/>
    </row>
    <row r="688" spans="1:21" x14ac:dyDescent="0.3">
      <c r="A688" s="347" t="str">
        <f t="shared" ref="A688:A703" si="184">A687</f>
        <v>Exclude</v>
      </c>
      <c r="D688" s="426" t="s">
        <v>1319</v>
      </c>
      <c r="E688" s="39" t="s">
        <v>1203</v>
      </c>
      <c r="F688" s="24"/>
      <c r="G688" s="292"/>
      <c r="H688" s="25"/>
      <c r="I688" s="293"/>
      <c r="J688" s="293"/>
      <c r="K688" s="301"/>
      <c r="L688" s="300">
        <v>0</v>
      </c>
      <c r="M688" s="301">
        <f>L688</f>
        <v>0</v>
      </c>
      <c r="N688" s="293"/>
      <c r="O688" s="294"/>
      <c r="Q688" s="282"/>
      <c r="R688" s="281"/>
      <c r="S688" s="283"/>
      <c r="T688" s="283"/>
      <c r="U688" s="283"/>
    </row>
    <row r="689" spans="1:21" ht="12" customHeight="1" x14ac:dyDescent="0.3">
      <c r="A689" s="347" t="str">
        <f t="shared" si="184"/>
        <v>Exclude</v>
      </c>
      <c r="D689" s="425" t="s">
        <v>1319</v>
      </c>
      <c r="E689" s="44" t="s">
        <v>217</v>
      </c>
      <c r="F689" s="10"/>
      <c r="G689" s="21"/>
      <c r="H689" s="12" t="s">
        <v>1</v>
      </c>
      <c r="I689" s="13"/>
      <c r="J689" s="16">
        <f>G689*I689</f>
        <v>0</v>
      </c>
      <c r="K689" s="304"/>
      <c r="L689" s="298"/>
      <c r="M689" s="298">
        <f t="shared" ref="M689:M699" si="185">IF(K689="x","Included in Sub Bid",J689)</f>
        <v>0</v>
      </c>
      <c r="N689" s="16"/>
      <c r="O689" s="104"/>
      <c r="Q689" s="281"/>
      <c r="R689" s="281"/>
      <c r="S689" s="281"/>
      <c r="T689" s="281"/>
      <c r="U689" s="281"/>
    </row>
    <row r="690" spans="1:21" ht="12" customHeight="1" x14ac:dyDescent="0.3">
      <c r="A690" s="347" t="str">
        <f t="shared" si="184"/>
        <v>Exclude</v>
      </c>
      <c r="D690" s="425" t="s">
        <v>1319</v>
      </c>
      <c r="E690" s="44" t="s">
        <v>373</v>
      </c>
      <c r="F690" s="10"/>
      <c r="G690" s="21"/>
      <c r="H690" s="12" t="s">
        <v>1</v>
      </c>
      <c r="I690" s="13"/>
      <c r="J690" s="16">
        <f t="shared" ref="J690:J698" si="186">G690*I690</f>
        <v>0</v>
      </c>
      <c r="K690" s="304"/>
      <c r="L690" s="298"/>
      <c r="M690" s="298">
        <f t="shared" si="185"/>
        <v>0</v>
      </c>
      <c r="N690" s="16"/>
      <c r="O690" s="104"/>
      <c r="Q690" s="281"/>
      <c r="R690" s="281"/>
      <c r="S690" s="281"/>
      <c r="T690" s="281"/>
      <c r="U690" s="281"/>
    </row>
    <row r="691" spans="1:21" ht="12" customHeight="1" x14ac:dyDescent="0.3">
      <c r="A691" s="347" t="str">
        <f t="shared" si="184"/>
        <v>Exclude</v>
      </c>
      <c r="D691" s="425" t="s">
        <v>1319</v>
      </c>
      <c r="E691" s="44" t="s">
        <v>1147</v>
      </c>
      <c r="F691" s="10"/>
      <c r="G691" s="21"/>
      <c r="H691" s="12" t="s">
        <v>1</v>
      </c>
      <c r="I691" s="13">
        <v>4.5</v>
      </c>
      <c r="J691" s="16">
        <f t="shared" si="186"/>
        <v>0</v>
      </c>
      <c r="K691" s="304"/>
      <c r="L691" s="298"/>
      <c r="M691" s="298">
        <f t="shared" si="185"/>
        <v>0</v>
      </c>
      <c r="N691" s="16"/>
      <c r="O691" s="104"/>
      <c r="Q691" s="281"/>
      <c r="R691" s="281"/>
      <c r="S691" s="281"/>
      <c r="T691" s="281"/>
      <c r="U691" s="281"/>
    </row>
    <row r="692" spans="1:21" ht="12" customHeight="1" x14ac:dyDescent="0.3">
      <c r="A692" s="347" t="str">
        <f t="shared" si="184"/>
        <v>Exclude</v>
      </c>
      <c r="D692" s="425" t="s">
        <v>1319</v>
      </c>
      <c r="E692" s="44" t="s">
        <v>1148</v>
      </c>
      <c r="F692" s="10"/>
      <c r="G692" s="21"/>
      <c r="H692" s="12" t="s">
        <v>1</v>
      </c>
      <c r="I692" s="13">
        <v>5</v>
      </c>
      <c r="J692" s="16">
        <f t="shared" ref="J692" si="187">G692*I692</f>
        <v>0</v>
      </c>
      <c r="K692" s="304"/>
      <c r="L692" s="298"/>
      <c r="M692" s="298">
        <f t="shared" si="185"/>
        <v>0</v>
      </c>
      <c r="N692" s="16"/>
      <c r="O692" s="104"/>
      <c r="Q692" s="281"/>
      <c r="R692" s="281"/>
      <c r="S692" s="281"/>
      <c r="T692" s="281"/>
      <c r="U692" s="281"/>
    </row>
    <row r="693" spans="1:21" ht="12" customHeight="1" x14ac:dyDescent="0.3">
      <c r="A693" s="347" t="str">
        <f t="shared" si="184"/>
        <v>Exclude</v>
      </c>
      <c r="D693" s="425" t="s">
        <v>1319</v>
      </c>
      <c r="E693" s="44" t="s">
        <v>1397</v>
      </c>
      <c r="F693" s="10"/>
      <c r="G693" s="21"/>
      <c r="H693" s="12" t="s">
        <v>1</v>
      </c>
      <c r="I693" s="13">
        <v>5</v>
      </c>
      <c r="J693" s="16">
        <f t="shared" ref="J693" si="188">G693*I693</f>
        <v>0</v>
      </c>
      <c r="K693" s="304"/>
      <c r="L693" s="298"/>
      <c r="M693" s="298">
        <f t="shared" ref="M693" si="189">IF(K693="x","Included in Sub Bid",J693)</f>
        <v>0</v>
      </c>
      <c r="N693" s="16"/>
      <c r="O693" s="104"/>
      <c r="Q693" s="281"/>
      <c r="R693" s="281"/>
      <c r="S693" s="281"/>
      <c r="T693" s="281"/>
      <c r="U693" s="281"/>
    </row>
    <row r="694" spans="1:21" ht="12" customHeight="1" x14ac:dyDescent="0.3">
      <c r="A694" s="347" t="str">
        <f>A692</f>
        <v>Exclude</v>
      </c>
      <c r="D694" s="425" t="s">
        <v>1319</v>
      </c>
      <c r="E694" s="44" t="s">
        <v>1150</v>
      </c>
      <c r="F694" s="10"/>
      <c r="G694" s="21"/>
      <c r="H694" s="12" t="s">
        <v>1</v>
      </c>
      <c r="I694" s="13"/>
      <c r="J694" s="16">
        <f>G694*I694</f>
        <v>0</v>
      </c>
      <c r="K694" s="304"/>
      <c r="L694" s="298"/>
      <c r="M694" s="298">
        <f t="shared" si="185"/>
        <v>0</v>
      </c>
      <c r="N694" s="16"/>
      <c r="O694" s="104"/>
      <c r="Q694" s="281"/>
      <c r="R694" s="281"/>
      <c r="S694" s="281"/>
      <c r="T694" s="281"/>
      <c r="U694" s="281"/>
    </row>
    <row r="695" spans="1:21" ht="12" customHeight="1" x14ac:dyDescent="0.3">
      <c r="A695" s="347" t="str">
        <f t="shared" si="184"/>
        <v>Exclude</v>
      </c>
      <c r="D695" s="425" t="s">
        <v>1319</v>
      </c>
      <c r="E695" s="44" t="s">
        <v>218</v>
      </c>
      <c r="F695" s="10"/>
      <c r="G695" s="21"/>
      <c r="H695" s="12" t="s">
        <v>3</v>
      </c>
      <c r="I695" s="13"/>
      <c r="J695" s="16">
        <f t="shared" si="186"/>
        <v>0</v>
      </c>
      <c r="K695" s="304"/>
      <c r="L695" s="298"/>
      <c r="M695" s="298">
        <f t="shared" si="185"/>
        <v>0</v>
      </c>
      <c r="N695" s="16"/>
      <c r="O695" s="104"/>
      <c r="Q695" s="281"/>
      <c r="R695" s="281"/>
      <c r="S695" s="281"/>
      <c r="T695" s="281"/>
      <c r="U695" s="281"/>
    </row>
    <row r="696" spans="1:21" ht="12" customHeight="1" x14ac:dyDescent="0.3">
      <c r="A696" s="347" t="str">
        <f t="shared" si="184"/>
        <v>Exclude</v>
      </c>
      <c r="D696" s="425" t="s">
        <v>1319</v>
      </c>
      <c r="E696" s="44" t="s">
        <v>779</v>
      </c>
      <c r="F696" s="10"/>
      <c r="G696" s="21"/>
      <c r="H696" s="12" t="s">
        <v>2</v>
      </c>
      <c r="I696" s="13">
        <v>10000</v>
      </c>
      <c r="J696" s="16">
        <f t="shared" ref="J696" si="190">G696*I696</f>
        <v>0</v>
      </c>
      <c r="K696" s="304"/>
      <c r="L696" s="298"/>
      <c r="M696" s="298">
        <f t="shared" si="185"/>
        <v>0</v>
      </c>
      <c r="N696" s="16"/>
      <c r="O696" s="104"/>
      <c r="Q696" s="281"/>
      <c r="R696" s="281"/>
      <c r="S696" s="281"/>
      <c r="T696" s="281"/>
      <c r="U696" s="281"/>
    </row>
    <row r="697" spans="1:21" ht="12" customHeight="1" x14ac:dyDescent="0.3">
      <c r="A697" s="347" t="str">
        <f t="shared" si="184"/>
        <v>Exclude</v>
      </c>
      <c r="D697" s="425" t="s">
        <v>1319</v>
      </c>
      <c r="E697" s="44" t="s">
        <v>219</v>
      </c>
      <c r="F697" s="10"/>
      <c r="G697" s="21"/>
      <c r="H697" s="12" t="s">
        <v>1</v>
      </c>
      <c r="I697" s="13"/>
      <c r="J697" s="16">
        <f t="shared" si="186"/>
        <v>0</v>
      </c>
      <c r="K697" s="304"/>
      <c r="L697" s="298"/>
      <c r="M697" s="298">
        <f t="shared" si="185"/>
        <v>0</v>
      </c>
      <c r="N697" s="16"/>
      <c r="O697" s="104"/>
      <c r="Q697" s="281"/>
      <c r="R697" s="281"/>
      <c r="S697" s="281"/>
      <c r="T697" s="281"/>
      <c r="U697" s="281"/>
    </row>
    <row r="698" spans="1:21" ht="12" customHeight="1" x14ac:dyDescent="0.3">
      <c r="A698" s="347" t="str">
        <f t="shared" si="184"/>
        <v>Exclude</v>
      </c>
      <c r="D698" s="425" t="s">
        <v>1319</v>
      </c>
      <c r="E698" s="44" t="s">
        <v>220</v>
      </c>
      <c r="F698" s="10"/>
      <c r="G698" s="21"/>
      <c r="H698" s="12" t="s">
        <v>1</v>
      </c>
      <c r="I698" s="13"/>
      <c r="J698" s="16">
        <f t="shared" si="186"/>
        <v>0</v>
      </c>
      <c r="K698" s="304"/>
      <c r="L698" s="298"/>
      <c r="M698" s="298">
        <f t="shared" si="185"/>
        <v>0</v>
      </c>
      <c r="N698" s="16"/>
      <c r="O698" s="104"/>
      <c r="Q698" s="281"/>
      <c r="R698" s="281"/>
      <c r="S698" s="281"/>
      <c r="T698" s="281"/>
      <c r="U698" s="281"/>
    </row>
    <row r="699" spans="1:21" ht="12" customHeight="1" x14ac:dyDescent="0.3">
      <c r="A699" s="347" t="str">
        <f t="shared" si="184"/>
        <v>Exclude</v>
      </c>
      <c r="D699" s="425" t="s">
        <v>1319</v>
      </c>
      <c r="E699" s="44" t="s">
        <v>531</v>
      </c>
      <c r="F699" s="10"/>
      <c r="G699" s="21"/>
      <c r="H699" s="12" t="s">
        <v>1</v>
      </c>
      <c r="I699" s="13"/>
      <c r="J699" s="16">
        <f t="shared" ref="J699" si="191">G699*I699</f>
        <v>0</v>
      </c>
      <c r="K699" s="304"/>
      <c r="L699" s="298"/>
      <c r="M699" s="298">
        <f t="shared" si="185"/>
        <v>0</v>
      </c>
      <c r="N699" s="16"/>
      <c r="O699" s="104"/>
      <c r="Q699" s="281"/>
      <c r="R699" s="281"/>
      <c r="S699" s="281"/>
      <c r="T699" s="281"/>
      <c r="U699" s="281"/>
    </row>
    <row r="700" spans="1:21" x14ac:dyDescent="0.3">
      <c r="A700" s="347" t="str">
        <f t="shared" si="184"/>
        <v>Exclude</v>
      </c>
      <c r="D700" s="427" t="s">
        <v>1319</v>
      </c>
      <c r="E700" s="199" t="s">
        <v>943</v>
      </c>
      <c r="F700" s="200"/>
      <c r="G700" s="201"/>
      <c r="H700" s="202" t="s">
        <v>0</v>
      </c>
      <c r="I700" s="203"/>
      <c r="J700" s="203"/>
      <c r="K700" s="304"/>
      <c r="L700" s="302"/>
      <c r="M700" s="302">
        <f>IF(K700="x","Included in Sub Bid",G700*I700)</f>
        <v>0</v>
      </c>
      <c r="N700" s="16"/>
      <c r="O700" s="104"/>
      <c r="Q700" s="281"/>
      <c r="R700" s="281"/>
      <c r="S700" s="281"/>
      <c r="T700" s="281"/>
      <c r="U700" s="281"/>
    </row>
    <row r="701" spans="1:21" x14ac:dyDescent="0.3">
      <c r="A701" s="347" t="str">
        <f t="shared" si="184"/>
        <v>Exclude</v>
      </c>
      <c r="D701" s="427" t="s">
        <v>1319</v>
      </c>
      <c r="E701" s="199" t="s">
        <v>944</v>
      </c>
      <c r="F701" s="200"/>
      <c r="G701" s="201"/>
      <c r="H701" s="202" t="s">
        <v>0</v>
      </c>
      <c r="I701" s="203"/>
      <c r="J701" s="203"/>
      <c r="K701" s="304"/>
      <c r="L701" s="302"/>
      <c r="M701" s="302">
        <f>IF(K701="x","Included in Sub Bid",G701*I701)</f>
        <v>0</v>
      </c>
      <c r="N701" s="16"/>
      <c r="O701" s="104"/>
      <c r="Q701" s="281"/>
      <c r="R701" s="281"/>
      <c r="S701" s="281"/>
      <c r="T701" s="281"/>
      <c r="U701" s="281"/>
    </row>
    <row r="702" spans="1:21" ht="12" customHeight="1" x14ac:dyDescent="0.3">
      <c r="A702" s="347" t="str">
        <f t="shared" si="184"/>
        <v>Exclude</v>
      </c>
      <c r="D702" s="425"/>
      <c r="E702" s="44"/>
      <c r="F702" s="10"/>
      <c r="G702" s="21"/>
      <c r="H702" s="12"/>
      <c r="I702" s="13"/>
      <c r="J702" s="16"/>
      <c r="K702" s="304"/>
      <c r="L702" s="298"/>
      <c r="M702" s="298"/>
      <c r="N702" s="16"/>
      <c r="O702" s="104"/>
      <c r="Q702" s="281"/>
      <c r="R702" s="281"/>
      <c r="S702" s="281"/>
      <c r="T702" s="281"/>
      <c r="U702" s="281"/>
    </row>
    <row r="703" spans="1:21" x14ac:dyDescent="0.3">
      <c r="A703" s="347" t="str">
        <f t="shared" si="184"/>
        <v>Exclude</v>
      </c>
      <c r="D703" s="425"/>
      <c r="E703" s="39"/>
      <c r="F703" s="10"/>
      <c r="G703" s="21"/>
      <c r="H703" s="12"/>
      <c r="I703" s="13"/>
      <c r="J703" s="16"/>
      <c r="K703" s="301"/>
      <c r="L703" s="298"/>
      <c r="M703" s="298"/>
      <c r="N703" s="16"/>
      <c r="O703" s="114"/>
      <c r="Q703" s="281"/>
      <c r="R703" s="281"/>
      <c r="S703" s="281"/>
      <c r="T703" s="281"/>
      <c r="U703" s="281"/>
    </row>
    <row r="704" spans="1:21" ht="15.75" customHeight="1" x14ac:dyDescent="0.3">
      <c r="A704" s="347" t="str">
        <f>IF(J704=0,"Exclude","x")</f>
        <v>Exclude</v>
      </c>
      <c r="D704" s="424" t="s">
        <v>813</v>
      </c>
      <c r="E704" s="69" t="s">
        <v>740</v>
      </c>
      <c r="F704" s="56"/>
      <c r="G704" s="57"/>
      <c r="H704" s="58"/>
      <c r="I704" s="59"/>
      <c r="J704" s="60">
        <f>SUBTOTAL(9,J705:J712)</f>
        <v>0</v>
      </c>
      <c r="K704" s="59">
        <f>IFERROR(J704/$G$6,0)</f>
        <v>0</v>
      </c>
      <c r="L704" s="309"/>
      <c r="M704" s="60"/>
      <c r="N704" s="59">
        <f>SUM(M705:M712)</f>
        <v>0</v>
      </c>
      <c r="O704" s="435">
        <f>IFERROR(N704/$G$6,0)</f>
        <v>0</v>
      </c>
      <c r="Q704" s="281"/>
      <c r="R704" s="281"/>
      <c r="S704" s="281"/>
      <c r="T704" s="281"/>
      <c r="U704" s="281"/>
    </row>
    <row r="705" spans="1:21" x14ac:dyDescent="0.3">
      <c r="A705" s="347" t="str">
        <f t="shared" ref="A705:A712" si="192">A704</f>
        <v>Exclude</v>
      </c>
      <c r="D705" s="426" t="s">
        <v>1320</v>
      </c>
      <c r="E705" s="39" t="s">
        <v>1203</v>
      </c>
      <c r="F705" s="24"/>
      <c r="G705" s="292"/>
      <c r="H705" s="25"/>
      <c r="I705" s="293"/>
      <c r="J705" s="293"/>
      <c r="K705" s="301"/>
      <c r="L705" s="300">
        <v>0</v>
      </c>
      <c r="M705" s="301">
        <f>L705</f>
        <v>0</v>
      </c>
      <c r="N705" s="293"/>
      <c r="O705" s="294"/>
      <c r="Q705" s="282"/>
      <c r="R705" s="281"/>
      <c r="S705" s="283"/>
      <c r="T705" s="283"/>
      <c r="U705" s="283"/>
    </row>
    <row r="706" spans="1:21" ht="12" customHeight="1" x14ac:dyDescent="0.3">
      <c r="A706" s="347" t="str">
        <f t="shared" si="192"/>
        <v>Exclude</v>
      </c>
      <c r="D706" s="425" t="s">
        <v>1320</v>
      </c>
      <c r="E706" s="44" t="s">
        <v>411</v>
      </c>
      <c r="F706" s="10"/>
      <c r="G706" s="21"/>
      <c r="H706" s="12" t="s">
        <v>1</v>
      </c>
      <c r="I706" s="13">
        <v>2.7</v>
      </c>
      <c r="J706" s="16">
        <f>G706*I706</f>
        <v>0</v>
      </c>
      <c r="K706" s="304"/>
      <c r="L706" s="298"/>
      <c r="M706" s="298">
        <f t="shared" ref="M706:M708" si="193">IF(K706="x","Included in Sub Bid",J706)</f>
        <v>0</v>
      </c>
      <c r="N706" s="16"/>
      <c r="O706" s="104"/>
      <c r="Q706" s="281"/>
      <c r="R706" s="281"/>
      <c r="S706" s="281"/>
      <c r="T706" s="281"/>
      <c r="U706" s="281"/>
    </row>
    <row r="707" spans="1:21" ht="12" customHeight="1" x14ac:dyDescent="0.3">
      <c r="A707" s="347" t="str">
        <f t="shared" si="192"/>
        <v>Exclude</v>
      </c>
      <c r="D707" s="425" t="s">
        <v>1320</v>
      </c>
      <c r="E707" s="44" t="s">
        <v>412</v>
      </c>
      <c r="F707" s="10"/>
      <c r="G707" s="21"/>
      <c r="H707" s="12" t="s">
        <v>1</v>
      </c>
      <c r="I707" s="13"/>
      <c r="J707" s="16">
        <f>G707*I707</f>
        <v>0</v>
      </c>
      <c r="K707" s="304"/>
      <c r="L707" s="298"/>
      <c r="M707" s="298">
        <f t="shared" si="193"/>
        <v>0</v>
      </c>
      <c r="N707" s="16"/>
      <c r="O707" s="104"/>
      <c r="Q707" s="281"/>
      <c r="R707" s="281"/>
      <c r="S707" s="281"/>
      <c r="T707" s="281"/>
      <c r="U707" s="281"/>
    </row>
    <row r="708" spans="1:21" ht="12" customHeight="1" x14ac:dyDescent="0.3">
      <c r="A708" s="347" t="str">
        <f t="shared" si="192"/>
        <v>Exclude</v>
      </c>
      <c r="D708" s="425" t="s">
        <v>1320</v>
      </c>
      <c r="E708" s="44" t="s">
        <v>1149</v>
      </c>
      <c r="F708" s="10"/>
      <c r="G708" s="21"/>
      <c r="H708" s="12" t="s">
        <v>1</v>
      </c>
      <c r="I708" s="13">
        <v>0.6</v>
      </c>
      <c r="J708" s="16">
        <f>G708*I708</f>
        <v>0</v>
      </c>
      <c r="K708" s="304"/>
      <c r="L708" s="298"/>
      <c r="M708" s="298">
        <f t="shared" si="193"/>
        <v>0</v>
      </c>
      <c r="N708" s="16"/>
      <c r="O708" s="104"/>
      <c r="Q708" s="281"/>
      <c r="R708" s="281"/>
      <c r="S708" s="281"/>
      <c r="T708" s="281"/>
      <c r="U708" s="281"/>
    </row>
    <row r="709" spans="1:21" x14ac:dyDescent="0.3">
      <c r="A709" s="347" t="str">
        <f t="shared" si="192"/>
        <v>Exclude</v>
      </c>
      <c r="D709" s="427" t="s">
        <v>1320</v>
      </c>
      <c r="E709" s="199" t="s">
        <v>943</v>
      </c>
      <c r="F709" s="200"/>
      <c r="G709" s="201"/>
      <c r="H709" s="202" t="s">
        <v>0</v>
      </c>
      <c r="I709" s="203"/>
      <c r="J709" s="203"/>
      <c r="K709" s="304"/>
      <c r="L709" s="302"/>
      <c r="M709" s="302">
        <f>IF(K709="x","Included in Sub Bid",G709*I709)</f>
        <v>0</v>
      </c>
      <c r="N709" s="16"/>
      <c r="O709" s="104"/>
      <c r="Q709" s="281"/>
      <c r="R709" s="281"/>
      <c r="S709" s="281"/>
      <c r="T709" s="281"/>
      <c r="U709" s="281"/>
    </row>
    <row r="710" spans="1:21" x14ac:dyDescent="0.3">
      <c r="A710" s="347" t="str">
        <f t="shared" si="192"/>
        <v>Exclude</v>
      </c>
      <c r="D710" s="427" t="s">
        <v>1320</v>
      </c>
      <c r="E710" s="199" t="s">
        <v>944</v>
      </c>
      <c r="F710" s="200"/>
      <c r="G710" s="201"/>
      <c r="H710" s="202" t="s">
        <v>0</v>
      </c>
      <c r="I710" s="203"/>
      <c r="J710" s="203"/>
      <c r="K710" s="304"/>
      <c r="L710" s="302"/>
      <c r="M710" s="302">
        <f>IF(K710="x","Included in Sub Bid",G710*I710)</f>
        <v>0</v>
      </c>
      <c r="N710" s="16"/>
      <c r="O710" s="104"/>
      <c r="Q710" s="281"/>
      <c r="R710" s="281"/>
      <c r="S710" s="281"/>
      <c r="T710" s="281"/>
      <c r="U710" s="281"/>
    </row>
    <row r="711" spans="1:21" ht="12" customHeight="1" x14ac:dyDescent="0.3">
      <c r="A711" s="347" t="str">
        <f t="shared" si="192"/>
        <v>Exclude</v>
      </c>
      <c r="D711" s="425"/>
      <c r="E711" s="44"/>
      <c r="F711" s="10"/>
      <c r="G711" s="21"/>
      <c r="H711" s="12"/>
      <c r="I711" s="13"/>
      <c r="J711" s="16"/>
      <c r="K711" s="304"/>
      <c r="L711" s="298"/>
      <c r="M711" s="298"/>
      <c r="N711" s="16"/>
      <c r="O711" s="104"/>
      <c r="Q711" s="281"/>
      <c r="R711" s="281"/>
      <c r="S711" s="281"/>
      <c r="T711" s="281"/>
      <c r="U711" s="281"/>
    </row>
    <row r="712" spans="1:21" x14ac:dyDescent="0.3">
      <c r="A712" s="347" t="str">
        <f t="shared" si="192"/>
        <v>Exclude</v>
      </c>
      <c r="D712" s="425"/>
      <c r="E712" s="39"/>
      <c r="F712" s="10"/>
      <c r="G712" s="21"/>
      <c r="H712" s="12"/>
      <c r="I712" s="13"/>
      <c r="J712" s="16"/>
      <c r="K712" s="301"/>
      <c r="L712" s="298"/>
      <c r="M712" s="298"/>
      <c r="N712" s="16"/>
      <c r="O712" s="114"/>
      <c r="Q712" s="281"/>
      <c r="R712" s="281"/>
      <c r="S712" s="281"/>
      <c r="T712" s="281"/>
      <c r="U712" s="281"/>
    </row>
    <row r="713" spans="1:21" ht="15.75" customHeight="1" x14ac:dyDescent="0.3">
      <c r="A713" s="347" t="str">
        <f>IF(J713=0,"Exclude","x")</f>
        <v>Exclude</v>
      </c>
      <c r="D713" s="424" t="s">
        <v>813</v>
      </c>
      <c r="E713" s="69" t="s">
        <v>741</v>
      </c>
      <c r="F713" s="56"/>
      <c r="G713" s="57"/>
      <c r="H713" s="58"/>
      <c r="I713" s="59"/>
      <c r="J713" s="60">
        <f>SUBTOTAL(9,J714:J733)</f>
        <v>0</v>
      </c>
      <c r="K713" s="59">
        <f>IFERROR(J713/$G$6,0)</f>
        <v>0</v>
      </c>
      <c r="L713" s="309"/>
      <c r="M713" s="60"/>
      <c r="N713" s="59">
        <f>SUM(M714:M733)</f>
        <v>0</v>
      </c>
      <c r="O713" s="435">
        <f>IFERROR(N713/$G$6,0)</f>
        <v>0</v>
      </c>
      <c r="Q713" s="281"/>
      <c r="R713" s="281"/>
      <c r="S713" s="281"/>
      <c r="T713" s="281"/>
      <c r="U713" s="281"/>
    </row>
    <row r="714" spans="1:21" x14ac:dyDescent="0.3">
      <c r="A714" s="347" t="str">
        <f t="shared" ref="A714:A733" si="194">A713</f>
        <v>Exclude</v>
      </c>
      <c r="D714" s="426" t="s">
        <v>1321</v>
      </c>
      <c r="E714" s="39" t="s">
        <v>1203</v>
      </c>
      <c r="F714" s="24"/>
      <c r="G714" s="292"/>
      <c r="H714" s="25"/>
      <c r="I714" s="293"/>
      <c r="J714" s="293"/>
      <c r="K714" s="301"/>
      <c r="L714" s="300">
        <v>0</v>
      </c>
      <c r="M714" s="301">
        <f>L714</f>
        <v>0</v>
      </c>
      <c r="N714" s="293"/>
      <c r="O714" s="294"/>
      <c r="Q714" s="282"/>
      <c r="R714" s="281"/>
      <c r="S714" s="283"/>
      <c r="T714" s="283"/>
      <c r="U714" s="283"/>
    </row>
    <row r="715" spans="1:21" ht="12" customHeight="1" x14ac:dyDescent="0.3">
      <c r="A715" s="347" t="str">
        <f t="shared" si="194"/>
        <v>Exclude</v>
      </c>
      <c r="D715" s="425" t="s">
        <v>1321</v>
      </c>
      <c r="E715" s="44" t="s">
        <v>458</v>
      </c>
      <c r="F715" s="10"/>
      <c r="G715" s="21"/>
      <c r="H715" s="12" t="s">
        <v>39</v>
      </c>
      <c r="I715" s="13">
        <v>30</v>
      </c>
      <c r="J715" s="16">
        <f>G715*I715</f>
        <v>0</v>
      </c>
      <c r="K715" s="304"/>
      <c r="L715" s="298"/>
      <c r="M715" s="298">
        <f t="shared" ref="M715:M729" si="195">IF(K715="x","Included in Sub Bid",J715)</f>
        <v>0</v>
      </c>
      <c r="N715" s="16"/>
      <c r="O715" s="104"/>
      <c r="Q715" s="281"/>
      <c r="R715" s="281"/>
      <c r="S715" s="281"/>
      <c r="T715" s="281"/>
      <c r="U715" s="281"/>
    </row>
    <row r="716" spans="1:21" ht="12" customHeight="1" x14ac:dyDescent="0.3">
      <c r="A716" s="347" t="str">
        <f t="shared" si="194"/>
        <v>Exclude</v>
      </c>
      <c r="D716" s="425" t="s">
        <v>1321</v>
      </c>
      <c r="E716" s="44" t="s">
        <v>1398</v>
      </c>
      <c r="F716" s="10"/>
      <c r="G716" s="21"/>
      <c r="H716" s="12" t="s">
        <v>39</v>
      </c>
      <c r="I716" s="13">
        <v>30</v>
      </c>
      <c r="J716" s="16">
        <f>G716*I716</f>
        <v>0</v>
      </c>
      <c r="K716" s="304"/>
      <c r="L716" s="298"/>
      <c r="M716" s="298">
        <f t="shared" ref="M716" si="196">IF(K716="x","Included in Sub Bid",J716)</f>
        <v>0</v>
      </c>
      <c r="N716" s="16"/>
      <c r="O716" s="104"/>
      <c r="Q716" s="281"/>
      <c r="R716" s="281"/>
      <c r="S716" s="281"/>
      <c r="T716" s="281"/>
      <c r="U716" s="281"/>
    </row>
    <row r="717" spans="1:21" ht="12" customHeight="1" x14ac:dyDescent="0.3">
      <c r="A717" s="347" t="str">
        <f>A715</f>
        <v>Exclude</v>
      </c>
      <c r="D717" s="425" t="s">
        <v>1321</v>
      </c>
      <c r="E717" s="44" t="s">
        <v>251</v>
      </c>
      <c r="F717" s="10"/>
      <c r="G717" s="21"/>
      <c r="H717" s="12" t="s">
        <v>1</v>
      </c>
      <c r="I717" s="13">
        <v>12</v>
      </c>
      <c r="J717" s="16">
        <f>G717*I717</f>
        <v>0</v>
      </c>
      <c r="K717" s="304"/>
      <c r="L717" s="298"/>
      <c r="M717" s="298">
        <f t="shared" si="195"/>
        <v>0</v>
      </c>
      <c r="N717" s="16"/>
      <c r="O717" s="104"/>
      <c r="Q717" s="281"/>
      <c r="R717" s="281"/>
      <c r="S717" s="281"/>
      <c r="T717" s="281"/>
      <c r="U717" s="281"/>
    </row>
    <row r="718" spans="1:21" ht="12" customHeight="1" x14ac:dyDescent="0.3">
      <c r="A718" s="347" t="str">
        <f t="shared" si="194"/>
        <v>Exclude</v>
      </c>
      <c r="D718" s="425" t="s">
        <v>1321</v>
      </c>
      <c r="E718" s="44" t="s">
        <v>250</v>
      </c>
      <c r="F718" s="10"/>
      <c r="G718" s="21"/>
      <c r="H718" s="12" t="s">
        <v>1</v>
      </c>
      <c r="I718" s="13">
        <v>12</v>
      </c>
      <c r="J718" s="16">
        <f t="shared" ref="J718" si="197">G718*I718</f>
        <v>0</v>
      </c>
      <c r="K718" s="304"/>
      <c r="L718" s="298"/>
      <c r="M718" s="298">
        <f t="shared" si="195"/>
        <v>0</v>
      </c>
      <c r="N718" s="16"/>
      <c r="O718" s="104"/>
      <c r="Q718" s="281"/>
      <c r="R718" s="281"/>
      <c r="S718" s="281"/>
      <c r="T718" s="281"/>
      <c r="U718" s="281"/>
    </row>
    <row r="719" spans="1:21" ht="12" customHeight="1" x14ac:dyDescent="0.3">
      <c r="A719" s="347" t="str">
        <f t="shared" si="194"/>
        <v>Exclude</v>
      </c>
      <c r="D719" s="425" t="s">
        <v>1321</v>
      </c>
      <c r="E719" s="44" t="s">
        <v>252</v>
      </c>
      <c r="F719" s="10"/>
      <c r="G719" s="21"/>
      <c r="H719" s="12" t="s">
        <v>3</v>
      </c>
      <c r="I719" s="13">
        <v>12</v>
      </c>
      <c r="J719" s="16">
        <f>G719*I719</f>
        <v>0</v>
      </c>
      <c r="K719" s="304"/>
      <c r="L719" s="298"/>
      <c r="M719" s="298">
        <f t="shared" si="195"/>
        <v>0</v>
      </c>
      <c r="N719" s="16"/>
      <c r="O719" s="104"/>
      <c r="Q719" s="281"/>
      <c r="R719" s="281"/>
      <c r="S719" s="281"/>
      <c r="T719" s="281"/>
      <c r="U719" s="281"/>
    </row>
    <row r="720" spans="1:21" ht="12" customHeight="1" x14ac:dyDescent="0.3">
      <c r="A720" s="347" t="str">
        <f t="shared" si="194"/>
        <v>Exclude</v>
      </c>
      <c r="D720" s="425" t="s">
        <v>1321</v>
      </c>
      <c r="E720" s="44" t="s">
        <v>222</v>
      </c>
      <c r="F720" s="10"/>
      <c r="G720" s="21"/>
      <c r="H720" s="12" t="s">
        <v>1</v>
      </c>
      <c r="I720" s="13">
        <v>2.5</v>
      </c>
      <c r="J720" s="16">
        <f t="shared" ref="J720:J728" si="198">G720*I720</f>
        <v>0</v>
      </c>
      <c r="K720" s="304"/>
      <c r="L720" s="298"/>
      <c r="M720" s="298">
        <f t="shared" si="195"/>
        <v>0</v>
      </c>
      <c r="N720" s="16"/>
      <c r="O720" s="104"/>
      <c r="Q720" s="281"/>
      <c r="R720" s="281"/>
      <c r="S720" s="281"/>
      <c r="T720" s="281"/>
      <c r="U720" s="281"/>
    </row>
    <row r="721" spans="1:21" ht="12" customHeight="1" x14ac:dyDescent="0.3">
      <c r="A721" s="347" t="str">
        <f t="shared" si="194"/>
        <v>Exclude</v>
      </c>
      <c r="D721" s="425" t="s">
        <v>1321</v>
      </c>
      <c r="E721" s="44" t="s">
        <v>783</v>
      </c>
      <c r="F721" s="10"/>
      <c r="G721" s="21"/>
      <c r="H721" s="12" t="s">
        <v>1</v>
      </c>
      <c r="I721" s="13">
        <v>4</v>
      </c>
      <c r="J721" s="16">
        <f t="shared" ref="J721" si="199">G721*I721</f>
        <v>0</v>
      </c>
      <c r="K721" s="304"/>
      <c r="L721" s="298"/>
      <c r="M721" s="298">
        <f t="shared" si="195"/>
        <v>0</v>
      </c>
      <c r="N721" s="16"/>
      <c r="O721" s="104"/>
      <c r="Q721" s="281"/>
      <c r="R721" s="281"/>
      <c r="S721" s="281"/>
      <c r="T721" s="281"/>
      <c r="U721" s="281"/>
    </row>
    <row r="722" spans="1:21" ht="12" customHeight="1" x14ac:dyDescent="0.3">
      <c r="A722" s="347" t="str">
        <f t="shared" si="194"/>
        <v>Exclude</v>
      </c>
      <c r="D722" s="425" t="s">
        <v>1321</v>
      </c>
      <c r="E722" s="44" t="s">
        <v>459</v>
      </c>
      <c r="F722" s="10"/>
      <c r="G722" s="21"/>
      <c r="H722" s="12" t="s">
        <v>1</v>
      </c>
      <c r="I722" s="13">
        <v>7</v>
      </c>
      <c r="J722" s="16">
        <f t="shared" ref="J722:J723" si="200">G722*I722</f>
        <v>0</v>
      </c>
      <c r="K722" s="304"/>
      <c r="L722" s="298"/>
      <c r="M722" s="298">
        <f t="shared" si="195"/>
        <v>0</v>
      </c>
      <c r="N722" s="16"/>
      <c r="O722" s="104"/>
      <c r="Q722" s="281"/>
      <c r="R722" s="281"/>
      <c r="S722" s="281"/>
      <c r="T722" s="281"/>
      <c r="U722" s="281"/>
    </row>
    <row r="723" spans="1:21" ht="12" customHeight="1" x14ac:dyDescent="0.3">
      <c r="A723" s="347" t="str">
        <f t="shared" si="194"/>
        <v>Exclude</v>
      </c>
      <c r="D723" s="425" t="s">
        <v>1321</v>
      </c>
      <c r="E723" s="44" t="s">
        <v>460</v>
      </c>
      <c r="F723" s="10"/>
      <c r="G723" s="21"/>
      <c r="H723" s="12" t="s">
        <v>1</v>
      </c>
      <c r="I723" s="13"/>
      <c r="J723" s="16">
        <f t="shared" si="200"/>
        <v>0</v>
      </c>
      <c r="K723" s="304"/>
      <c r="L723" s="298"/>
      <c r="M723" s="298">
        <f t="shared" si="195"/>
        <v>0</v>
      </c>
      <c r="N723" s="16"/>
      <c r="O723" s="104"/>
      <c r="Q723" s="281"/>
      <c r="R723" s="281"/>
      <c r="S723" s="281"/>
      <c r="T723" s="281"/>
      <c r="U723" s="281"/>
    </row>
    <row r="724" spans="1:21" ht="12" customHeight="1" x14ac:dyDescent="0.3">
      <c r="A724" s="347" t="str">
        <f t="shared" si="194"/>
        <v>Exclude</v>
      </c>
      <c r="D724" s="425" t="s">
        <v>1321</v>
      </c>
      <c r="E724" s="44" t="s">
        <v>223</v>
      </c>
      <c r="F724" s="10"/>
      <c r="G724" s="21"/>
      <c r="H724" s="12" t="s">
        <v>3</v>
      </c>
      <c r="I724" s="13"/>
      <c r="J724" s="16">
        <f t="shared" si="198"/>
        <v>0</v>
      </c>
      <c r="K724" s="304"/>
      <c r="L724" s="298"/>
      <c r="M724" s="298">
        <f t="shared" si="195"/>
        <v>0</v>
      </c>
      <c r="N724" s="16"/>
      <c r="O724" s="104"/>
      <c r="Q724" s="281"/>
      <c r="R724" s="281"/>
      <c r="S724" s="281"/>
      <c r="T724" s="281"/>
      <c r="U724" s="281"/>
    </row>
    <row r="725" spans="1:21" ht="12" customHeight="1" x14ac:dyDescent="0.3">
      <c r="A725" s="347" t="str">
        <f t="shared" si="194"/>
        <v>Exclude</v>
      </c>
      <c r="D725" s="425" t="s">
        <v>1321</v>
      </c>
      <c r="E725" s="44" t="s">
        <v>224</v>
      </c>
      <c r="F725" s="10"/>
      <c r="G725" s="21"/>
      <c r="H725" s="12" t="s">
        <v>1</v>
      </c>
      <c r="I725" s="13"/>
      <c r="J725" s="16">
        <f>G725*I725</f>
        <v>0</v>
      </c>
      <c r="K725" s="304"/>
      <c r="L725" s="298"/>
      <c r="M725" s="298">
        <f t="shared" si="195"/>
        <v>0</v>
      </c>
      <c r="N725" s="16"/>
      <c r="O725" s="104"/>
      <c r="Q725" s="281"/>
      <c r="R725" s="281"/>
      <c r="S725" s="281"/>
      <c r="T725" s="281"/>
      <c r="U725" s="281"/>
    </row>
    <row r="726" spans="1:21" ht="12" customHeight="1" x14ac:dyDescent="0.3">
      <c r="A726" s="347" t="str">
        <f t="shared" si="194"/>
        <v>Exclude</v>
      </c>
      <c r="D726" s="425" t="s">
        <v>1321</v>
      </c>
      <c r="E726" s="44" t="s">
        <v>755</v>
      </c>
      <c r="F726" s="10"/>
      <c r="G726" s="21"/>
      <c r="H726" s="12" t="s">
        <v>1</v>
      </c>
      <c r="I726" s="13"/>
      <c r="J726" s="16">
        <f>G726*I726</f>
        <v>0</v>
      </c>
      <c r="K726" s="304"/>
      <c r="L726" s="298"/>
      <c r="M726" s="298">
        <f t="shared" si="195"/>
        <v>0</v>
      </c>
      <c r="N726" s="16"/>
      <c r="O726" s="104"/>
      <c r="Q726" s="281"/>
      <c r="R726" s="281"/>
      <c r="S726" s="281"/>
      <c r="T726" s="281"/>
      <c r="U726" s="281"/>
    </row>
    <row r="727" spans="1:21" ht="12" customHeight="1" x14ac:dyDescent="0.3">
      <c r="A727" s="347" t="str">
        <f t="shared" si="194"/>
        <v>Exclude</v>
      </c>
      <c r="D727" s="425" t="s">
        <v>1321</v>
      </c>
      <c r="E727" s="44" t="s">
        <v>1152</v>
      </c>
      <c r="F727" s="10"/>
      <c r="G727" s="21"/>
      <c r="H727" s="12" t="s">
        <v>3</v>
      </c>
      <c r="I727" s="13">
        <v>2</v>
      </c>
      <c r="J727" s="16">
        <f t="shared" si="198"/>
        <v>0</v>
      </c>
      <c r="K727" s="304"/>
      <c r="L727" s="298"/>
      <c r="M727" s="298">
        <f t="shared" si="195"/>
        <v>0</v>
      </c>
      <c r="N727" s="16"/>
      <c r="O727" s="104"/>
      <c r="Q727" s="281"/>
      <c r="R727" s="281"/>
      <c r="S727" s="281"/>
      <c r="T727" s="281"/>
      <c r="U727" s="281"/>
    </row>
    <row r="728" spans="1:21" ht="12" customHeight="1" x14ac:dyDescent="0.3">
      <c r="A728" s="347" t="str">
        <f t="shared" si="194"/>
        <v>Exclude</v>
      </c>
      <c r="D728" s="425" t="s">
        <v>1321</v>
      </c>
      <c r="E728" s="44" t="s">
        <v>782</v>
      </c>
      <c r="F728" s="10"/>
      <c r="G728" s="21"/>
      <c r="H728" s="12" t="s">
        <v>1</v>
      </c>
      <c r="I728" s="13">
        <v>2.5</v>
      </c>
      <c r="J728" s="16">
        <f t="shared" si="198"/>
        <v>0</v>
      </c>
      <c r="K728" s="304"/>
      <c r="L728" s="298"/>
      <c r="M728" s="298">
        <f t="shared" si="195"/>
        <v>0</v>
      </c>
      <c r="N728" s="16"/>
      <c r="O728" s="104"/>
      <c r="Q728" s="281"/>
      <c r="R728" s="281"/>
      <c r="S728" s="281"/>
      <c r="T728" s="281"/>
      <c r="U728" s="281"/>
    </row>
    <row r="729" spans="1:21" ht="12" customHeight="1" x14ac:dyDescent="0.3">
      <c r="A729" s="347" t="str">
        <f t="shared" si="194"/>
        <v>Exclude</v>
      </c>
      <c r="D729" s="425" t="s">
        <v>1321</v>
      </c>
      <c r="E729" s="44" t="s">
        <v>781</v>
      </c>
      <c r="F729" s="10"/>
      <c r="G729" s="21"/>
      <c r="H729" s="12" t="s">
        <v>1</v>
      </c>
      <c r="I729" s="13">
        <v>1</v>
      </c>
      <c r="J729" s="16">
        <f t="shared" ref="J729" si="201">G729*I729</f>
        <v>0</v>
      </c>
      <c r="K729" s="304"/>
      <c r="L729" s="298"/>
      <c r="M729" s="298">
        <f t="shared" si="195"/>
        <v>0</v>
      </c>
      <c r="N729" s="16"/>
      <c r="O729" s="104"/>
      <c r="Q729" s="281"/>
      <c r="R729" s="281"/>
      <c r="S729" s="281"/>
      <c r="T729" s="281"/>
      <c r="U729" s="281"/>
    </row>
    <row r="730" spans="1:21" x14ac:dyDescent="0.3">
      <c r="A730" s="347" t="str">
        <f t="shared" si="194"/>
        <v>Exclude</v>
      </c>
      <c r="D730" s="427" t="s">
        <v>1321</v>
      </c>
      <c r="E730" s="199" t="s">
        <v>943</v>
      </c>
      <c r="F730" s="200"/>
      <c r="G730" s="201"/>
      <c r="H730" s="202" t="s">
        <v>0</v>
      </c>
      <c r="I730" s="203"/>
      <c r="J730" s="203"/>
      <c r="K730" s="304"/>
      <c r="L730" s="302"/>
      <c r="M730" s="302">
        <f>IF(K730="x","Included in Sub Bid",G730*I730)</f>
        <v>0</v>
      </c>
      <c r="N730" s="16"/>
      <c r="O730" s="104"/>
      <c r="Q730" s="281"/>
      <c r="R730" s="281"/>
      <c r="S730" s="281"/>
      <c r="T730" s="281"/>
      <c r="U730" s="281"/>
    </row>
    <row r="731" spans="1:21" x14ac:dyDescent="0.3">
      <c r="A731" s="347" t="str">
        <f t="shared" si="194"/>
        <v>Exclude</v>
      </c>
      <c r="D731" s="427" t="s">
        <v>1321</v>
      </c>
      <c r="E731" s="199" t="s">
        <v>944</v>
      </c>
      <c r="F731" s="200"/>
      <c r="G731" s="201"/>
      <c r="H731" s="202" t="s">
        <v>0</v>
      </c>
      <c r="I731" s="203"/>
      <c r="J731" s="203"/>
      <c r="K731" s="304"/>
      <c r="L731" s="302"/>
      <c r="M731" s="302">
        <f>IF(K731="x","Included in Sub Bid",G731*I731)</f>
        <v>0</v>
      </c>
      <c r="N731" s="16"/>
      <c r="O731" s="104"/>
      <c r="Q731" s="281"/>
      <c r="R731" s="281"/>
      <c r="S731" s="281"/>
      <c r="T731" s="281"/>
      <c r="U731" s="281"/>
    </row>
    <row r="732" spans="1:21" ht="12" customHeight="1" x14ac:dyDescent="0.3">
      <c r="A732" s="347" t="str">
        <f>A729</f>
        <v>Exclude</v>
      </c>
      <c r="D732" s="425"/>
      <c r="E732" s="44"/>
      <c r="F732" s="10"/>
      <c r="G732" s="21"/>
      <c r="H732" s="12"/>
      <c r="I732" s="13"/>
      <c r="J732" s="16"/>
      <c r="K732" s="304"/>
      <c r="L732" s="298"/>
      <c r="M732" s="298"/>
      <c r="N732" s="16"/>
      <c r="O732" s="104"/>
      <c r="Q732" s="281"/>
      <c r="R732" s="281"/>
      <c r="S732" s="281"/>
      <c r="T732" s="281"/>
      <c r="U732" s="281"/>
    </row>
    <row r="733" spans="1:21" x14ac:dyDescent="0.3">
      <c r="A733" s="347" t="str">
        <f t="shared" si="194"/>
        <v>Exclude</v>
      </c>
      <c r="D733" s="425"/>
      <c r="E733" s="39"/>
      <c r="F733" s="10"/>
      <c r="G733" s="21"/>
      <c r="H733" s="12"/>
      <c r="I733" s="13"/>
      <c r="J733" s="16"/>
      <c r="K733" s="301"/>
      <c r="L733" s="298"/>
      <c r="M733" s="298"/>
      <c r="N733" s="16"/>
      <c r="O733" s="114"/>
      <c r="Q733" s="281"/>
      <c r="R733" s="281"/>
      <c r="S733" s="281"/>
      <c r="T733" s="281"/>
      <c r="U733" s="281"/>
    </row>
    <row r="734" spans="1:21" ht="15.75" customHeight="1" x14ac:dyDescent="0.3">
      <c r="A734" s="347" t="str">
        <f>IF(J734=0,"Exclude","x")</f>
        <v>Exclude</v>
      </c>
      <c r="D734" s="424" t="s">
        <v>813</v>
      </c>
      <c r="E734" s="69" t="s">
        <v>743</v>
      </c>
      <c r="F734" s="56"/>
      <c r="G734" s="57"/>
      <c r="H734" s="58"/>
      <c r="I734" s="59"/>
      <c r="J734" s="60">
        <f>SUBTOTAL(9,J735:J752)</f>
        <v>0</v>
      </c>
      <c r="K734" s="59">
        <f>IFERROR(J734/$G$6,0)</f>
        <v>0</v>
      </c>
      <c r="L734" s="309"/>
      <c r="M734" s="60"/>
      <c r="N734" s="59">
        <f>SUM(M735:M752)</f>
        <v>0</v>
      </c>
      <c r="O734" s="435">
        <f>IFERROR(N734/$G$6,0)</f>
        <v>0</v>
      </c>
      <c r="Q734" s="281"/>
      <c r="R734" s="281"/>
      <c r="S734" s="281"/>
      <c r="T734" s="281"/>
      <c r="U734" s="281"/>
    </row>
    <row r="735" spans="1:21" x14ac:dyDescent="0.3">
      <c r="A735" s="347" t="str">
        <f t="shared" ref="A735:A752" si="202">A734</f>
        <v>Exclude</v>
      </c>
      <c r="D735" s="426" t="s">
        <v>1322</v>
      </c>
      <c r="E735" s="39" t="s">
        <v>1203</v>
      </c>
      <c r="F735" s="24"/>
      <c r="G735" s="292"/>
      <c r="H735" s="25"/>
      <c r="I735" s="293"/>
      <c r="J735" s="293"/>
      <c r="K735" s="301"/>
      <c r="L735" s="300">
        <v>0</v>
      </c>
      <c r="M735" s="301">
        <f>L735</f>
        <v>0</v>
      </c>
      <c r="N735" s="293"/>
      <c r="O735" s="294"/>
      <c r="Q735" s="282"/>
      <c r="R735" s="281"/>
      <c r="S735" s="283"/>
      <c r="T735" s="283"/>
      <c r="U735" s="283"/>
    </row>
    <row r="736" spans="1:21" ht="12" customHeight="1" x14ac:dyDescent="0.3">
      <c r="A736" s="347" t="str">
        <f t="shared" si="202"/>
        <v>Exclude</v>
      </c>
      <c r="D736" s="425" t="s">
        <v>1322</v>
      </c>
      <c r="E736" s="44" t="s">
        <v>157</v>
      </c>
      <c r="F736" s="10"/>
      <c r="G736" s="21">
        <f>G392</f>
        <v>0</v>
      </c>
      <c r="H736" s="12" t="s">
        <v>1</v>
      </c>
      <c r="I736" s="13">
        <v>0.75</v>
      </c>
      <c r="J736" s="16">
        <f t="shared" ref="J736:J748" si="203">G736*I736</f>
        <v>0</v>
      </c>
      <c r="K736" s="304"/>
      <c r="L736" s="298"/>
      <c r="M736" s="298">
        <f t="shared" ref="M736:M748" si="204">IF(K736="x","Included in Sub Bid",J736)</f>
        <v>0</v>
      </c>
      <c r="N736" s="16"/>
      <c r="O736" s="104"/>
      <c r="Q736" s="281"/>
      <c r="R736" s="281"/>
      <c r="S736" s="281"/>
      <c r="T736" s="281"/>
      <c r="U736" s="281"/>
    </row>
    <row r="737" spans="1:21" ht="12" customHeight="1" x14ac:dyDescent="0.3">
      <c r="A737" s="347" t="str">
        <f t="shared" si="202"/>
        <v>Exclude</v>
      </c>
      <c r="D737" s="425" t="s">
        <v>1322</v>
      </c>
      <c r="E737" s="44" t="s">
        <v>225</v>
      </c>
      <c r="F737" s="10"/>
      <c r="G737" s="21"/>
      <c r="H737" s="12" t="s">
        <v>1</v>
      </c>
      <c r="I737" s="13">
        <v>1</v>
      </c>
      <c r="J737" s="16">
        <f t="shared" ref="J737" si="205">G737*I737</f>
        <v>0</v>
      </c>
      <c r="K737" s="304"/>
      <c r="L737" s="298"/>
      <c r="M737" s="298">
        <f t="shared" si="204"/>
        <v>0</v>
      </c>
      <c r="N737" s="16"/>
      <c r="O737" s="104"/>
      <c r="Q737" s="281"/>
      <c r="R737" s="281"/>
      <c r="S737" s="281"/>
      <c r="T737" s="281"/>
      <c r="U737" s="281"/>
    </row>
    <row r="738" spans="1:21" ht="12" customHeight="1" x14ac:dyDescent="0.3">
      <c r="A738" s="347" t="str">
        <f t="shared" si="202"/>
        <v>Exclude</v>
      </c>
      <c r="D738" s="425" t="s">
        <v>1322</v>
      </c>
      <c r="E738" s="44" t="s">
        <v>189</v>
      </c>
      <c r="F738" s="10"/>
      <c r="G738" s="21"/>
      <c r="H738" s="12" t="s">
        <v>1</v>
      </c>
      <c r="I738" s="13"/>
      <c r="J738" s="16">
        <f>I738*G738</f>
        <v>0</v>
      </c>
      <c r="K738" s="304"/>
      <c r="L738" s="298"/>
      <c r="M738" s="298">
        <f t="shared" si="204"/>
        <v>0</v>
      </c>
      <c r="N738" s="16"/>
      <c r="O738" s="104"/>
      <c r="Q738" s="281"/>
      <c r="R738" s="281"/>
      <c r="S738" s="281"/>
      <c r="T738" s="281"/>
      <c r="U738" s="281"/>
    </row>
    <row r="739" spans="1:21" ht="12" customHeight="1" x14ac:dyDescent="0.3">
      <c r="A739" s="347" t="str">
        <f t="shared" si="202"/>
        <v>Exclude</v>
      </c>
      <c r="D739" s="425" t="s">
        <v>1322</v>
      </c>
      <c r="E739" s="44" t="s">
        <v>112</v>
      </c>
      <c r="F739" s="10"/>
      <c r="G739" s="21"/>
      <c r="H739" s="12" t="s">
        <v>1</v>
      </c>
      <c r="I739" s="13"/>
      <c r="J739" s="16">
        <f t="shared" si="203"/>
        <v>0</v>
      </c>
      <c r="K739" s="304"/>
      <c r="L739" s="298"/>
      <c r="M739" s="298">
        <f t="shared" si="204"/>
        <v>0</v>
      </c>
      <c r="N739" s="16"/>
      <c r="O739" s="104"/>
      <c r="Q739" s="281"/>
      <c r="R739" s="281"/>
      <c r="S739" s="281"/>
      <c r="T739" s="281"/>
      <c r="U739" s="281"/>
    </row>
    <row r="740" spans="1:21" ht="12" customHeight="1" x14ac:dyDescent="0.3">
      <c r="A740" s="347" t="str">
        <f t="shared" si="202"/>
        <v>Exclude</v>
      </c>
      <c r="D740" s="425" t="s">
        <v>1322</v>
      </c>
      <c r="E740" s="44" t="s">
        <v>113</v>
      </c>
      <c r="F740" s="10"/>
      <c r="G740" s="21">
        <f>G626+G627</f>
        <v>0</v>
      </c>
      <c r="H740" s="12" t="s">
        <v>2</v>
      </c>
      <c r="I740" s="13">
        <v>75</v>
      </c>
      <c r="J740" s="16">
        <f t="shared" si="203"/>
        <v>0</v>
      </c>
      <c r="K740" s="304"/>
      <c r="L740" s="298"/>
      <c r="M740" s="298">
        <f t="shared" si="204"/>
        <v>0</v>
      </c>
      <c r="N740" s="16"/>
      <c r="O740" s="104"/>
      <c r="Q740" s="281"/>
      <c r="R740" s="281"/>
      <c r="S740" s="281"/>
      <c r="T740" s="281"/>
      <c r="U740" s="281"/>
    </row>
    <row r="741" spans="1:21" ht="12" customHeight="1" x14ac:dyDescent="0.3">
      <c r="A741" s="347" t="str">
        <f t="shared" si="202"/>
        <v>Exclude</v>
      </c>
      <c r="D741" s="425" t="s">
        <v>1322</v>
      </c>
      <c r="E741" s="44" t="s">
        <v>12</v>
      </c>
      <c r="F741" s="10"/>
      <c r="G741" s="21"/>
      <c r="H741" s="12" t="s">
        <v>2</v>
      </c>
      <c r="I741" s="13"/>
      <c r="J741" s="16">
        <f t="shared" si="203"/>
        <v>0</v>
      </c>
      <c r="K741" s="304"/>
      <c r="L741" s="298"/>
      <c r="M741" s="298">
        <f t="shared" si="204"/>
        <v>0</v>
      </c>
      <c r="N741" s="16"/>
      <c r="O741" s="104"/>
      <c r="Q741" s="281"/>
      <c r="R741" s="281"/>
      <c r="S741" s="281"/>
      <c r="T741" s="281"/>
      <c r="U741" s="281"/>
    </row>
    <row r="742" spans="1:21" ht="12" customHeight="1" x14ac:dyDescent="0.3">
      <c r="A742" s="347" t="str">
        <f t="shared" si="202"/>
        <v>Exclude</v>
      </c>
      <c r="D742" s="425" t="s">
        <v>1322</v>
      </c>
      <c r="E742" s="44" t="s">
        <v>15</v>
      </c>
      <c r="F742" s="10"/>
      <c r="G742" s="21"/>
      <c r="H742" s="12" t="s">
        <v>2</v>
      </c>
      <c r="I742" s="13"/>
      <c r="J742" s="16">
        <f t="shared" si="203"/>
        <v>0</v>
      </c>
      <c r="K742" s="304"/>
      <c r="L742" s="298"/>
      <c r="M742" s="298">
        <f t="shared" si="204"/>
        <v>0</v>
      </c>
      <c r="N742" s="16"/>
      <c r="O742" s="104"/>
      <c r="Q742" s="281"/>
      <c r="R742" s="281"/>
      <c r="S742" s="281"/>
      <c r="T742" s="281"/>
      <c r="U742" s="281"/>
    </row>
    <row r="743" spans="1:21" ht="12" customHeight="1" x14ac:dyDescent="0.3">
      <c r="A743" s="347" t="str">
        <f t="shared" si="202"/>
        <v>Exclude</v>
      </c>
      <c r="D743" s="425" t="s">
        <v>1322</v>
      </c>
      <c r="E743" s="44" t="s">
        <v>82</v>
      </c>
      <c r="F743" s="10"/>
      <c r="G743" s="21"/>
      <c r="H743" s="12" t="s">
        <v>2</v>
      </c>
      <c r="I743" s="13"/>
      <c r="J743" s="16">
        <f t="shared" si="203"/>
        <v>0</v>
      </c>
      <c r="K743" s="304"/>
      <c r="L743" s="298"/>
      <c r="M743" s="298">
        <f t="shared" si="204"/>
        <v>0</v>
      </c>
      <c r="N743" s="16"/>
      <c r="O743" s="104"/>
      <c r="Q743" s="281"/>
      <c r="R743" s="281"/>
      <c r="S743" s="281"/>
      <c r="T743" s="281"/>
      <c r="U743" s="281"/>
    </row>
    <row r="744" spans="1:21" ht="12" customHeight="1" x14ac:dyDescent="0.3">
      <c r="A744" s="347" t="str">
        <f t="shared" si="202"/>
        <v>Exclude</v>
      </c>
      <c r="D744" s="425" t="s">
        <v>1322</v>
      </c>
      <c r="E744" s="44" t="s">
        <v>77</v>
      </c>
      <c r="F744" s="10"/>
      <c r="G744" s="21">
        <f>G462</f>
        <v>0</v>
      </c>
      <c r="H744" s="12" t="s">
        <v>2</v>
      </c>
      <c r="I744" s="13">
        <v>40</v>
      </c>
      <c r="J744" s="16">
        <f t="shared" si="203"/>
        <v>0</v>
      </c>
      <c r="K744" s="304"/>
      <c r="L744" s="298"/>
      <c r="M744" s="298">
        <f t="shared" si="204"/>
        <v>0</v>
      </c>
      <c r="N744" s="16"/>
      <c r="O744" s="104"/>
      <c r="Q744" s="281"/>
      <c r="R744" s="281"/>
      <c r="S744" s="281"/>
      <c r="T744" s="281"/>
      <c r="U744" s="281"/>
    </row>
    <row r="745" spans="1:21" ht="12" customHeight="1" x14ac:dyDescent="0.3">
      <c r="A745" s="347" t="str">
        <f t="shared" si="202"/>
        <v>Exclude</v>
      </c>
      <c r="D745" s="425" t="s">
        <v>1322</v>
      </c>
      <c r="E745" s="44" t="s">
        <v>31</v>
      </c>
      <c r="F745" s="10"/>
      <c r="G745" s="21"/>
      <c r="H745" s="12" t="s">
        <v>3</v>
      </c>
      <c r="I745" s="13">
        <v>6</v>
      </c>
      <c r="J745" s="16">
        <f t="shared" si="203"/>
        <v>0</v>
      </c>
      <c r="K745" s="304"/>
      <c r="L745" s="298"/>
      <c r="M745" s="298">
        <f t="shared" si="204"/>
        <v>0</v>
      </c>
      <c r="N745" s="16"/>
      <c r="O745" s="104"/>
      <c r="Q745" s="281"/>
      <c r="R745" s="281"/>
      <c r="S745" s="281"/>
      <c r="T745" s="281"/>
      <c r="U745" s="281"/>
    </row>
    <row r="746" spans="1:21" ht="12" customHeight="1" x14ac:dyDescent="0.3">
      <c r="A746" s="347" t="str">
        <f t="shared" si="202"/>
        <v>Exclude</v>
      </c>
      <c r="D746" s="425" t="s">
        <v>1322</v>
      </c>
      <c r="E746" s="44" t="s">
        <v>784</v>
      </c>
      <c r="F746" s="10"/>
      <c r="G746" s="21"/>
      <c r="H746" s="12" t="s">
        <v>2</v>
      </c>
      <c r="I746" s="13">
        <v>65</v>
      </c>
      <c r="J746" s="16">
        <f t="shared" ref="J746" si="206">G746*I746</f>
        <v>0</v>
      </c>
      <c r="K746" s="304"/>
      <c r="L746" s="298"/>
      <c r="M746" s="298">
        <f t="shared" si="204"/>
        <v>0</v>
      </c>
      <c r="N746" s="16"/>
      <c r="O746" s="104"/>
      <c r="Q746" s="281"/>
      <c r="R746" s="281"/>
      <c r="S746" s="281"/>
      <c r="T746" s="281"/>
      <c r="U746" s="281"/>
    </row>
    <row r="747" spans="1:21" ht="12" customHeight="1" x14ac:dyDescent="0.3">
      <c r="A747" s="347" t="str">
        <f t="shared" si="202"/>
        <v>Exclude</v>
      </c>
      <c r="D747" s="425" t="s">
        <v>1322</v>
      </c>
      <c r="E747" s="44" t="s">
        <v>114</v>
      </c>
      <c r="F747" s="10"/>
      <c r="G747" s="21"/>
      <c r="H747" s="12" t="s">
        <v>0</v>
      </c>
      <c r="I747" s="13">
        <v>5000</v>
      </c>
      <c r="J747" s="16">
        <f t="shared" si="203"/>
        <v>0</v>
      </c>
      <c r="K747" s="304"/>
      <c r="L747" s="298"/>
      <c r="M747" s="298">
        <f t="shared" si="204"/>
        <v>0</v>
      </c>
      <c r="N747" s="16"/>
      <c r="O747" s="104"/>
      <c r="Q747" s="281"/>
      <c r="R747" s="281"/>
      <c r="S747" s="281"/>
      <c r="T747" s="281"/>
      <c r="U747" s="281"/>
    </row>
    <row r="748" spans="1:21" ht="12" customHeight="1" x14ac:dyDescent="0.3">
      <c r="A748" s="347" t="str">
        <f t="shared" si="202"/>
        <v>Exclude</v>
      </c>
      <c r="D748" s="425" t="s">
        <v>1322</v>
      </c>
      <c r="E748" s="44" t="s">
        <v>32</v>
      </c>
      <c r="F748" s="10"/>
      <c r="G748" s="21">
        <f>G469</f>
        <v>0</v>
      </c>
      <c r="H748" s="12" t="s">
        <v>2</v>
      </c>
      <c r="I748" s="13">
        <v>75</v>
      </c>
      <c r="J748" s="16">
        <f t="shared" si="203"/>
        <v>0</v>
      </c>
      <c r="K748" s="304"/>
      <c r="L748" s="298"/>
      <c r="M748" s="298">
        <f t="shared" si="204"/>
        <v>0</v>
      </c>
      <c r="N748" s="16"/>
      <c r="O748" s="104"/>
      <c r="Q748" s="281"/>
      <c r="R748" s="281"/>
      <c r="S748" s="281"/>
      <c r="T748" s="281"/>
      <c r="U748" s="281"/>
    </row>
    <row r="749" spans="1:21" x14ac:dyDescent="0.3">
      <c r="A749" s="347" t="str">
        <f t="shared" si="202"/>
        <v>Exclude</v>
      </c>
      <c r="D749" s="427" t="s">
        <v>1322</v>
      </c>
      <c r="E749" s="199" t="s">
        <v>943</v>
      </c>
      <c r="F749" s="200"/>
      <c r="G749" s="201"/>
      <c r="H749" s="202" t="s">
        <v>0</v>
      </c>
      <c r="I749" s="203"/>
      <c r="J749" s="203"/>
      <c r="K749" s="304"/>
      <c r="L749" s="302"/>
      <c r="M749" s="302">
        <f>IF(K749="x","Included in Sub Bid",G749*I749)</f>
        <v>0</v>
      </c>
      <c r="N749" s="16"/>
      <c r="O749" s="104"/>
      <c r="Q749" s="281"/>
      <c r="R749" s="281"/>
      <c r="S749" s="281"/>
      <c r="T749" s="281"/>
      <c r="U749" s="281"/>
    </row>
    <row r="750" spans="1:21" x14ac:dyDescent="0.3">
      <c r="A750" s="347" t="str">
        <f t="shared" si="202"/>
        <v>Exclude</v>
      </c>
      <c r="D750" s="427" t="s">
        <v>1322</v>
      </c>
      <c r="E750" s="199" t="s">
        <v>944</v>
      </c>
      <c r="F750" s="200"/>
      <c r="G750" s="201"/>
      <c r="H750" s="202" t="s">
        <v>0</v>
      </c>
      <c r="I750" s="203"/>
      <c r="J750" s="203"/>
      <c r="K750" s="304"/>
      <c r="L750" s="302"/>
      <c r="M750" s="302">
        <f>IF(K750="x","Included in Sub Bid",G750*I750)</f>
        <v>0</v>
      </c>
      <c r="N750" s="16"/>
      <c r="O750" s="104"/>
      <c r="Q750" s="281"/>
      <c r="R750" s="281"/>
      <c r="S750" s="281"/>
      <c r="T750" s="281"/>
      <c r="U750" s="281"/>
    </row>
    <row r="751" spans="1:21" ht="12" customHeight="1" x14ac:dyDescent="0.3">
      <c r="A751" s="347" t="str">
        <f t="shared" si="202"/>
        <v>Exclude</v>
      </c>
      <c r="D751" s="425"/>
      <c r="E751" s="44"/>
      <c r="F751" s="10"/>
      <c r="G751" s="21"/>
      <c r="H751" s="12"/>
      <c r="I751" s="13"/>
      <c r="J751" s="16"/>
      <c r="K751" s="304"/>
      <c r="L751" s="298"/>
      <c r="M751" s="298"/>
      <c r="N751" s="16"/>
      <c r="O751" s="104"/>
      <c r="Q751" s="281"/>
      <c r="R751" s="281"/>
      <c r="S751" s="281"/>
      <c r="T751" s="281"/>
      <c r="U751" s="281"/>
    </row>
    <row r="752" spans="1:21" x14ac:dyDescent="0.3">
      <c r="A752" s="347" t="str">
        <f t="shared" si="202"/>
        <v>Exclude</v>
      </c>
      <c r="D752" s="425"/>
      <c r="E752" s="36"/>
      <c r="F752" s="10"/>
      <c r="G752" s="21"/>
      <c r="H752" s="12"/>
      <c r="I752" s="13"/>
      <c r="J752" s="16"/>
      <c r="K752" s="301"/>
      <c r="L752" s="298"/>
      <c r="M752" s="298"/>
      <c r="N752" s="16"/>
      <c r="O752" s="104"/>
      <c r="Q752" s="281"/>
      <c r="R752" s="281"/>
      <c r="S752" s="281"/>
      <c r="T752" s="281"/>
      <c r="U752" s="281"/>
    </row>
    <row r="753" spans="1:21" ht="15.75" customHeight="1" x14ac:dyDescent="0.3">
      <c r="A753" s="347" t="str">
        <f>IF(J753=0,"Exclude","x")</f>
        <v>Exclude</v>
      </c>
      <c r="D753" s="424" t="s">
        <v>813</v>
      </c>
      <c r="E753" s="69" t="s">
        <v>744</v>
      </c>
      <c r="F753" s="56"/>
      <c r="G753" s="57"/>
      <c r="H753" s="58"/>
      <c r="I753" s="59"/>
      <c r="J753" s="60">
        <f>SUBTOTAL(9,J754:J779)</f>
        <v>0</v>
      </c>
      <c r="K753" s="59">
        <f>IFERROR(J753/$G$6,0)</f>
        <v>0</v>
      </c>
      <c r="L753" s="309"/>
      <c r="M753" s="60"/>
      <c r="N753" s="59">
        <f>SUM(M754:M779)</f>
        <v>0</v>
      </c>
      <c r="O753" s="435">
        <f>IFERROR(N753/$G$6,0)</f>
        <v>0</v>
      </c>
      <c r="Q753" s="281"/>
      <c r="R753" s="281"/>
      <c r="S753" s="281"/>
      <c r="T753" s="281"/>
      <c r="U753" s="281"/>
    </row>
    <row r="754" spans="1:21" x14ac:dyDescent="0.3">
      <c r="A754" s="347" t="str">
        <f t="shared" ref="A754:A779" si="207">A753</f>
        <v>Exclude</v>
      </c>
      <c r="D754" s="426" t="s">
        <v>1322</v>
      </c>
      <c r="E754" s="39" t="s">
        <v>1203</v>
      </c>
      <c r="F754" s="24"/>
      <c r="G754" s="292"/>
      <c r="H754" s="25"/>
      <c r="I754" s="293"/>
      <c r="J754" s="293"/>
      <c r="K754" s="301"/>
      <c r="L754" s="300">
        <v>0</v>
      </c>
      <c r="M754" s="301">
        <f>L754</f>
        <v>0</v>
      </c>
      <c r="N754" s="293"/>
      <c r="O754" s="294"/>
      <c r="Q754" s="282"/>
      <c r="R754" s="281"/>
      <c r="S754" s="283"/>
      <c r="T754" s="283"/>
      <c r="U754" s="283"/>
    </row>
    <row r="755" spans="1:21" ht="12" customHeight="1" x14ac:dyDescent="0.3">
      <c r="A755" s="347" t="str">
        <f t="shared" si="207"/>
        <v>Exclude</v>
      </c>
      <c r="D755" s="425" t="s">
        <v>1322</v>
      </c>
      <c r="E755" s="44" t="s">
        <v>113</v>
      </c>
      <c r="F755" s="10"/>
      <c r="G755" s="21"/>
      <c r="H755" s="12" t="s">
        <v>2</v>
      </c>
      <c r="I755" s="13">
        <v>75</v>
      </c>
      <c r="J755" s="16">
        <f>G755*I755</f>
        <v>0</v>
      </c>
      <c r="K755" s="304"/>
      <c r="L755" s="298"/>
      <c r="M755" s="298">
        <f t="shared" ref="M755:M775" si="208">IF(K755="x","Included in Sub Bid",J755)</f>
        <v>0</v>
      </c>
      <c r="N755" s="16"/>
      <c r="O755" s="104"/>
      <c r="Q755" s="281"/>
      <c r="R755" s="281"/>
      <c r="S755" s="281"/>
      <c r="T755" s="281"/>
      <c r="U755" s="281"/>
    </row>
    <row r="756" spans="1:21" ht="12" customHeight="1" x14ac:dyDescent="0.3">
      <c r="A756" s="347" t="str">
        <f t="shared" si="207"/>
        <v>Exclude</v>
      </c>
      <c r="D756" s="425" t="s">
        <v>1322</v>
      </c>
      <c r="E756" s="44" t="s">
        <v>12</v>
      </c>
      <c r="F756" s="10"/>
      <c r="G756" s="21"/>
      <c r="H756" s="12" t="s">
        <v>2</v>
      </c>
      <c r="I756" s="13"/>
      <c r="J756" s="16">
        <f t="shared" ref="J756:J775" si="209">G756*I756</f>
        <v>0</v>
      </c>
      <c r="K756" s="304"/>
      <c r="L756" s="298"/>
      <c r="M756" s="298">
        <f t="shared" si="208"/>
        <v>0</v>
      </c>
      <c r="N756" s="16"/>
      <c r="O756" s="104"/>
      <c r="Q756" s="281"/>
      <c r="R756" s="281"/>
      <c r="S756" s="281"/>
      <c r="T756" s="281"/>
      <c r="U756" s="281"/>
    </row>
    <row r="757" spans="1:21" ht="12" customHeight="1" x14ac:dyDescent="0.3">
      <c r="A757" s="347" t="str">
        <f t="shared" si="207"/>
        <v>Exclude</v>
      </c>
      <c r="D757" s="425" t="s">
        <v>1322</v>
      </c>
      <c r="E757" s="44" t="s">
        <v>158</v>
      </c>
      <c r="F757" s="10"/>
      <c r="G757" s="21"/>
      <c r="H757" s="12" t="s">
        <v>2</v>
      </c>
      <c r="I757" s="13"/>
      <c r="J757" s="16">
        <f t="shared" si="209"/>
        <v>0</v>
      </c>
      <c r="K757" s="304"/>
      <c r="L757" s="298"/>
      <c r="M757" s="298">
        <f t="shared" si="208"/>
        <v>0</v>
      </c>
      <c r="N757" s="16"/>
      <c r="O757" s="104"/>
      <c r="Q757" s="281"/>
      <c r="R757" s="281"/>
      <c r="S757" s="281"/>
      <c r="T757" s="281"/>
      <c r="U757" s="281"/>
    </row>
    <row r="758" spans="1:21" ht="12" customHeight="1" x14ac:dyDescent="0.3">
      <c r="A758" s="347" t="str">
        <f t="shared" si="207"/>
        <v>Exclude</v>
      </c>
      <c r="D758" s="425" t="s">
        <v>1322</v>
      </c>
      <c r="E758" s="44" t="s">
        <v>33</v>
      </c>
      <c r="F758" s="10"/>
      <c r="G758" s="21">
        <f>G460</f>
        <v>0</v>
      </c>
      <c r="H758" s="12" t="s">
        <v>2</v>
      </c>
      <c r="I758" s="13">
        <v>1250</v>
      </c>
      <c r="J758" s="16">
        <f t="shared" si="209"/>
        <v>0</v>
      </c>
      <c r="K758" s="304"/>
      <c r="L758" s="298"/>
      <c r="M758" s="298">
        <f t="shared" si="208"/>
        <v>0</v>
      </c>
      <c r="N758" s="16"/>
      <c r="O758" s="104"/>
      <c r="Q758" s="281"/>
      <c r="R758" s="281"/>
      <c r="S758" s="281"/>
      <c r="T758" s="281"/>
      <c r="U758" s="281"/>
    </row>
    <row r="759" spans="1:21" ht="12" customHeight="1" x14ac:dyDescent="0.3">
      <c r="A759" s="347" t="str">
        <f t="shared" si="207"/>
        <v>Exclude</v>
      </c>
      <c r="D759" s="425" t="s">
        <v>1322</v>
      </c>
      <c r="E759" s="44" t="s">
        <v>77</v>
      </c>
      <c r="F759" s="10"/>
      <c r="G759" s="21"/>
      <c r="H759" s="12" t="s">
        <v>2</v>
      </c>
      <c r="I759" s="13"/>
      <c r="J759" s="16">
        <f t="shared" si="209"/>
        <v>0</v>
      </c>
      <c r="K759" s="304"/>
      <c r="L759" s="298"/>
      <c r="M759" s="298">
        <f t="shared" si="208"/>
        <v>0</v>
      </c>
      <c r="N759" s="16"/>
      <c r="O759" s="104"/>
      <c r="Q759" s="281"/>
      <c r="R759" s="281"/>
      <c r="S759" s="281"/>
      <c r="T759" s="281"/>
      <c r="U759" s="281"/>
    </row>
    <row r="760" spans="1:21" ht="12" customHeight="1" x14ac:dyDescent="0.3">
      <c r="A760" s="347" t="str">
        <f t="shared" si="207"/>
        <v>Exclude</v>
      </c>
      <c r="D760" s="425" t="s">
        <v>1322</v>
      </c>
      <c r="E760" s="44" t="s">
        <v>115</v>
      </c>
      <c r="F760" s="10"/>
      <c r="G760" s="21">
        <f>G420/1.125*2</f>
        <v>0</v>
      </c>
      <c r="H760" s="12" t="s">
        <v>1</v>
      </c>
      <c r="I760" s="13">
        <v>0.8</v>
      </c>
      <c r="J760" s="16">
        <f t="shared" si="209"/>
        <v>0</v>
      </c>
      <c r="K760" s="304"/>
      <c r="L760" s="298"/>
      <c r="M760" s="298">
        <f t="shared" si="208"/>
        <v>0</v>
      </c>
      <c r="N760" s="16"/>
      <c r="O760" s="104"/>
      <c r="Q760" s="281"/>
      <c r="R760" s="281"/>
      <c r="S760" s="281"/>
      <c r="T760" s="281"/>
      <c r="U760" s="281"/>
    </row>
    <row r="761" spans="1:21" ht="12" customHeight="1" x14ac:dyDescent="0.3">
      <c r="A761" s="347" t="str">
        <f t="shared" si="207"/>
        <v>Exclude</v>
      </c>
      <c r="D761" s="425" t="s">
        <v>1322</v>
      </c>
      <c r="E761" s="44" t="s">
        <v>116</v>
      </c>
      <c r="F761" s="10"/>
      <c r="G761" s="21"/>
      <c r="H761" s="12" t="s">
        <v>1</v>
      </c>
      <c r="I761" s="13">
        <v>0.36</v>
      </c>
      <c r="J761" s="16">
        <f t="shared" si="209"/>
        <v>0</v>
      </c>
      <c r="K761" s="304"/>
      <c r="L761" s="298"/>
      <c r="M761" s="298">
        <f t="shared" si="208"/>
        <v>0</v>
      </c>
      <c r="N761" s="16"/>
      <c r="O761" s="104"/>
      <c r="Q761" s="281"/>
      <c r="R761" s="281"/>
      <c r="S761" s="281"/>
      <c r="T761" s="281"/>
      <c r="U761" s="281"/>
    </row>
    <row r="762" spans="1:21" ht="12" customHeight="1" x14ac:dyDescent="0.3">
      <c r="A762" s="347" t="str">
        <f t="shared" si="207"/>
        <v>Exclude</v>
      </c>
      <c r="D762" s="425" t="s">
        <v>1322</v>
      </c>
      <c r="E762" s="44" t="s">
        <v>117</v>
      </c>
      <c r="F762" s="10"/>
      <c r="G762" s="21"/>
      <c r="H762" s="12" t="s">
        <v>2</v>
      </c>
      <c r="I762" s="13">
        <v>100</v>
      </c>
      <c r="J762" s="16">
        <f t="shared" si="209"/>
        <v>0</v>
      </c>
      <c r="K762" s="304"/>
      <c r="L762" s="298"/>
      <c r="M762" s="298">
        <f t="shared" si="208"/>
        <v>0</v>
      </c>
      <c r="N762" s="16"/>
      <c r="O762" s="104"/>
      <c r="Q762" s="281"/>
      <c r="R762" s="281"/>
      <c r="S762" s="281"/>
      <c r="T762" s="281"/>
      <c r="U762" s="281"/>
    </row>
    <row r="763" spans="1:21" ht="12" customHeight="1" x14ac:dyDescent="0.3">
      <c r="A763" s="347" t="str">
        <f t="shared" si="207"/>
        <v>Exclude</v>
      </c>
      <c r="D763" s="425" t="s">
        <v>1322</v>
      </c>
      <c r="E763" s="44" t="s">
        <v>118</v>
      </c>
      <c r="F763" s="10"/>
      <c r="G763" s="21">
        <f>ROUNDUP(G6/40000,0)</f>
        <v>0</v>
      </c>
      <c r="H763" s="12" t="s">
        <v>2</v>
      </c>
      <c r="I763" s="13">
        <v>150</v>
      </c>
      <c r="J763" s="16">
        <f t="shared" si="209"/>
        <v>0</v>
      </c>
      <c r="K763" s="304"/>
      <c r="L763" s="298"/>
      <c r="M763" s="298">
        <f t="shared" si="208"/>
        <v>0</v>
      </c>
      <c r="N763" s="16"/>
      <c r="O763" s="104"/>
      <c r="Q763" s="281"/>
      <c r="R763" s="281"/>
      <c r="S763" s="281"/>
      <c r="T763" s="281"/>
      <c r="U763" s="281"/>
    </row>
    <row r="764" spans="1:21" ht="12" customHeight="1" x14ac:dyDescent="0.3">
      <c r="A764" s="347" t="str">
        <f t="shared" si="207"/>
        <v>Exclude</v>
      </c>
      <c r="D764" s="425" t="s">
        <v>1322</v>
      </c>
      <c r="E764" s="44" t="s">
        <v>785</v>
      </c>
      <c r="F764" s="10"/>
      <c r="G764" s="21"/>
      <c r="H764" s="12" t="s">
        <v>2</v>
      </c>
      <c r="I764" s="13">
        <v>125</v>
      </c>
      <c r="J764" s="16">
        <f t="shared" ref="J764" si="210">G764*I764</f>
        <v>0</v>
      </c>
      <c r="K764" s="304"/>
      <c r="L764" s="298"/>
      <c r="M764" s="298">
        <f t="shared" si="208"/>
        <v>0</v>
      </c>
      <c r="N764" s="16"/>
      <c r="O764" s="104"/>
      <c r="Q764" s="281"/>
      <c r="R764" s="281"/>
      <c r="S764" s="281"/>
      <c r="T764" s="281"/>
      <c r="U764" s="281"/>
    </row>
    <row r="765" spans="1:21" ht="12" customHeight="1" x14ac:dyDescent="0.3">
      <c r="A765" s="347" t="str">
        <f t="shared" si="207"/>
        <v>Exclude</v>
      </c>
      <c r="D765" s="425" t="s">
        <v>1322</v>
      </c>
      <c r="E765" s="44" t="s">
        <v>403</v>
      </c>
      <c r="F765" s="10"/>
      <c r="G765" s="21"/>
      <c r="H765" s="12" t="s">
        <v>1</v>
      </c>
      <c r="I765" s="13">
        <v>1</v>
      </c>
      <c r="J765" s="16">
        <f t="shared" si="209"/>
        <v>0</v>
      </c>
      <c r="K765" s="304"/>
      <c r="L765" s="298"/>
      <c r="M765" s="298">
        <f t="shared" si="208"/>
        <v>0</v>
      </c>
      <c r="N765" s="16"/>
      <c r="O765" s="104"/>
      <c r="Q765" s="281"/>
      <c r="R765" s="281"/>
      <c r="S765" s="281"/>
      <c r="T765" s="281"/>
      <c r="U765" s="281"/>
    </row>
    <row r="766" spans="1:21" ht="12" customHeight="1" x14ac:dyDescent="0.3">
      <c r="A766" s="347" t="str">
        <f t="shared" si="207"/>
        <v>Exclude</v>
      </c>
      <c r="D766" s="425" t="s">
        <v>1322</v>
      </c>
      <c r="E766" s="44" t="s">
        <v>1151</v>
      </c>
      <c r="F766" s="10"/>
      <c r="G766" s="21"/>
      <c r="H766" s="12" t="s">
        <v>1</v>
      </c>
      <c r="I766" s="13">
        <v>0.5</v>
      </c>
      <c r="J766" s="16">
        <f t="shared" si="209"/>
        <v>0</v>
      </c>
      <c r="K766" s="304"/>
      <c r="L766" s="298"/>
      <c r="M766" s="298">
        <f t="shared" si="208"/>
        <v>0</v>
      </c>
      <c r="N766" s="16"/>
      <c r="O766" s="104"/>
      <c r="Q766" s="281"/>
      <c r="R766" s="281"/>
      <c r="S766" s="281"/>
      <c r="T766" s="281"/>
      <c r="U766" s="281"/>
    </row>
    <row r="767" spans="1:21" ht="12" customHeight="1" x14ac:dyDescent="0.3">
      <c r="A767" s="347" t="str">
        <f t="shared" si="207"/>
        <v>Exclude</v>
      </c>
      <c r="D767" s="425" t="s">
        <v>1322</v>
      </c>
      <c r="E767" s="44" t="s">
        <v>1268</v>
      </c>
      <c r="F767" s="10"/>
      <c r="G767" s="21"/>
      <c r="H767" s="12" t="s">
        <v>3</v>
      </c>
      <c r="I767" s="13">
        <v>1.45</v>
      </c>
      <c r="J767" s="16">
        <f t="shared" si="209"/>
        <v>0</v>
      </c>
      <c r="K767" s="304"/>
      <c r="L767" s="298"/>
      <c r="M767" s="298">
        <f t="shared" si="208"/>
        <v>0</v>
      </c>
      <c r="N767" s="16"/>
      <c r="O767" s="104"/>
      <c r="Q767" s="281"/>
      <c r="R767" s="281"/>
      <c r="S767" s="281"/>
      <c r="T767" s="281"/>
      <c r="U767" s="281"/>
    </row>
    <row r="768" spans="1:21" ht="12" customHeight="1" x14ac:dyDescent="0.3">
      <c r="A768" s="347" t="str">
        <f t="shared" si="207"/>
        <v>Exclude</v>
      </c>
      <c r="D768" s="425" t="s">
        <v>1322</v>
      </c>
      <c r="E768" s="44" t="s">
        <v>1269</v>
      </c>
      <c r="F768" s="10"/>
      <c r="G768" s="21"/>
      <c r="H768" s="12" t="s">
        <v>3</v>
      </c>
      <c r="I768" s="13">
        <v>2.25</v>
      </c>
      <c r="J768" s="16">
        <f t="shared" ref="J768" si="211">G768*I768</f>
        <v>0</v>
      </c>
      <c r="K768" s="304"/>
      <c r="L768" s="298"/>
      <c r="M768" s="298">
        <f t="shared" ref="M768" si="212">IF(K768="x","Included in Sub Bid",J768)</f>
        <v>0</v>
      </c>
      <c r="N768" s="16"/>
      <c r="O768" s="104"/>
      <c r="Q768" s="281"/>
      <c r="R768" s="281"/>
      <c r="S768" s="281"/>
      <c r="T768" s="281"/>
      <c r="U768" s="281"/>
    </row>
    <row r="769" spans="1:21" ht="12" customHeight="1" x14ac:dyDescent="0.3">
      <c r="A769" s="347" t="str">
        <f t="shared" si="207"/>
        <v>Exclude</v>
      </c>
      <c r="D769" s="425" t="s">
        <v>1322</v>
      </c>
      <c r="E769" s="44" t="s">
        <v>1267</v>
      </c>
      <c r="F769" s="10"/>
      <c r="G769" s="21"/>
      <c r="H769" s="12" t="s">
        <v>3</v>
      </c>
      <c r="I769" s="13">
        <v>4.45</v>
      </c>
      <c r="J769" s="16">
        <f t="shared" ref="J769" si="213">G769*I769</f>
        <v>0</v>
      </c>
      <c r="K769" s="304"/>
      <c r="L769" s="298"/>
      <c r="M769" s="298">
        <f t="shared" ref="M769" si="214">IF(K769="x","Included in Sub Bid",J769)</f>
        <v>0</v>
      </c>
      <c r="N769" s="16"/>
      <c r="O769" s="104"/>
      <c r="Q769" s="281"/>
      <c r="R769" s="281"/>
      <c r="S769" s="281"/>
      <c r="T769" s="281"/>
      <c r="U769" s="281"/>
    </row>
    <row r="770" spans="1:21" ht="12" customHeight="1" x14ac:dyDescent="0.3">
      <c r="A770" s="347" t="str">
        <f t="shared" si="207"/>
        <v>Exclude</v>
      </c>
      <c r="D770" s="425" t="s">
        <v>1322</v>
      </c>
      <c r="E770" s="44" t="s">
        <v>119</v>
      </c>
      <c r="F770" s="10"/>
      <c r="G770" s="21"/>
      <c r="H770" s="12" t="s">
        <v>1</v>
      </c>
      <c r="I770" s="13">
        <v>6</v>
      </c>
      <c r="J770" s="16">
        <f t="shared" si="209"/>
        <v>0</v>
      </c>
      <c r="K770" s="304"/>
      <c r="L770" s="298"/>
      <c r="M770" s="298">
        <f t="shared" si="208"/>
        <v>0</v>
      </c>
      <c r="N770" s="16"/>
      <c r="O770" s="104"/>
      <c r="Q770" s="281"/>
      <c r="R770" s="281"/>
      <c r="S770" s="281"/>
      <c r="T770" s="281"/>
      <c r="U770" s="281"/>
    </row>
    <row r="771" spans="1:21" ht="12" customHeight="1" x14ac:dyDescent="0.3">
      <c r="A771" s="347" t="str">
        <f t="shared" si="207"/>
        <v>Exclude</v>
      </c>
      <c r="D771" s="425" t="s">
        <v>1322</v>
      </c>
      <c r="E771" s="44" t="s">
        <v>346</v>
      </c>
      <c r="F771" s="10"/>
      <c r="G771" s="21"/>
      <c r="H771" s="12" t="s">
        <v>1</v>
      </c>
      <c r="I771" s="13"/>
      <c r="J771" s="16">
        <f t="shared" si="209"/>
        <v>0</v>
      </c>
      <c r="K771" s="304"/>
      <c r="L771" s="298"/>
      <c r="M771" s="298">
        <f t="shared" si="208"/>
        <v>0</v>
      </c>
      <c r="N771" s="16"/>
      <c r="O771" s="104"/>
      <c r="Q771" s="281"/>
      <c r="R771" s="281"/>
      <c r="S771" s="281"/>
      <c r="T771" s="281"/>
      <c r="U771" s="281"/>
    </row>
    <row r="772" spans="1:21" ht="12" customHeight="1" x14ac:dyDescent="0.3">
      <c r="A772" s="347" t="str">
        <f t="shared" si="207"/>
        <v>Exclude</v>
      </c>
      <c r="D772" s="425" t="s">
        <v>1322</v>
      </c>
      <c r="E772" s="44" t="s">
        <v>120</v>
      </c>
      <c r="F772" s="10"/>
      <c r="G772" s="21">
        <f>G834</f>
        <v>0</v>
      </c>
      <c r="H772" s="12" t="s">
        <v>2</v>
      </c>
      <c r="I772" s="13"/>
      <c r="J772" s="16">
        <f t="shared" si="209"/>
        <v>0</v>
      </c>
      <c r="K772" s="304"/>
      <c r="L772" s="298"/>
      <c r="M772" s="298">
        <f t="shared" si="208"/>
        <v>0</v>
      </c>
      <c r="N772" s="16"/>
      <c r="O772" s="104"/>
      <c r="Q772" s="281"/>
      <c r="R772" s="281"/>
      <c r="S772" s="281"/>
      <c r="T772" s="281"/>
      <c r="U772" s="281"/>
    </row>
    <row r="773" spans="1:21" ht="12" customHeight="1" x14ac:dyDescent="0.3">
      <c r="A773" s="347" t="str">
        <f t="shared" si="207"/>
        <v>Exclude</v>
      </c>
      <c r="D773" s="425" t="s">
        <v>1322</v>
      </c>
      <c r="E773" s="44" t="s">
        <v>786</v>
      </c>
      <c r="F773" s="10"/>
      <c r="G773" s="21"/>
      <c r="H773" s="12" t="s">
        <v>2</v>
      </c>
      <c r="I773" s="13">
        <v>65</v>
      </c>
      <c r="J773" s="16">
        <f t="shared" si="209"/>
        <v>0</v>
      </c>
      <c r="K773" s="304"/>
      <c r="L773" s="298"/>
      <c r="M773" s="298">
        <f t="shared" si="208"/>
        <v>0</v>
      </c>
      <c r="N773" s="16"/>
      <c r="O773" s="104"/>
      <c r="Q773" s="281"/>
      <c r="R773" s="281"/>
      <c r="S773" s="281"/>
      <c r="T773" s="281"/>
      <c r="U773" s="281"/>
    </row>
    <row r="774" spans="1:21" ht="12" customHeight="1" x14ac:dyDescent="0.3">
      <c r="A774" s="347" t="str">
        <f t="shared" si="207"/>
        <v>Exclude</v>
      </c>
      <c r="D774" s="425" t="s">
        <v>1322</v>
      </c>
      <c r="E774" s="44" t="s">
        <v>366</v>
      </c>
      <c r="F774" s="10"/>
      <c r="G774" s="21"/>
      <c r="H774" s="12" t="s">
        <v>3</v>
      </c>
      <c r="I774" s="13"/>
      <c r="J774" s="16">
        <f t="shared" si="209"/>
        <v>0</v>
      </c>
      <c r="K774" s="304"/>
      <c r="L774" s="298"/>
      <c r="M774" s="298">
        <f t="shared" si="208"/>
        <v>0</v>
      </c>
      <c r="N774" s="16"/>
      <c r="O774" s="104"/>
      <c r="Q774" s="281"/>
      <c r="R774" s="281"/>
      <c r="S774" s="281"/>
      <c r="T774" s="281"/>
      <c r="U774" s="281"/>
    </row>
    <row r="775" spans="1:21" ht="12" customHeight="1" x14ac:dyDescent="0.3">
      <c r="A775" s="347" t="str">
        <f t="shared" si="207"/>
        <v>Exclude</v>
      </c>
      <c r="D775" s="425" t="s">
        <v>1322</v>
      </c>
      <c r="E775" s="44" t="s">
        <v>31</v>
      </c>
      <c r="F775" s="10"/>
      <c r="G775" s="21"/>
      <c r="H775" s="12" t="s">
        <v>3</v>
      </c>
      <c r="I775" s="13"/>
      <c r="J775" s="16">
        <f t="shared" si="209"/>
        <v>0</v>
      </c>
      <c r="K775" s="304"/>
      <c r="L775" s="298"/>
      <c r="M775" s="298">
        <f t="shared" si="208"/>
        <v>0</v>
      </c>
      <c r="N775" s="16"/>
      <c r="O775" s="104"/>
      <c r="Q775" s="281"/>
      <c r="R775" s="281"/>
      <c r="S775" s="281"/>
      <c r="T775" s="281"/>
      <c r="U775" s="281"/>
    </row>
    <row r="776" spans="1:21" x14ac:dyDescent="0.3">
      <c r="A776" s="347" t="str">
        <f t="shared" si="207"/>
        <v>Exclude</v>
      </c>
      <c r="D776" s="427" t="s">
        <v>1322</v>
      </c>
      <c r="E776" s="199" t="s">
        <v>943</v>
      </c>
      <c r="F776" s="200"/>
      <c r="G776" s="201"/>
      <c r="H776" s="202" t="s">
        <v>0</v>
      </c>
      <c r="I776" s="203"/>
      <c r="J776" s="203"/>
      <c r="K776" s="304"/>
      <c r="L776" s="302"/>
      <c r="M776" s="302">
        <f>IF(K776="x","Included in Sub Bid",G776*I776)</f>
        <v>0</v>
      </c>
      <c r="N776" s="16"/>
      <c r="O776" s="104"/>
      <c r="Q776" s="281"/>
      <c r="R776" s="281"/>
      <c r="S776" s="281"/>
      <c r="T776" s="281"/>
      <c r="U776" s="281"/>
    </row>
    <row r="777" spans="1:21" x14ac:dyDescent="0.3">
      <c r="A777" s="347" t="str">
        <f t="shared" si="207"/>
        <v>Exclude</v>
      </c>
      <c r="D777" s="427" t="s">
        <v>1322</v>
      </c>
      <c r="E777" s="199" t="s">
        <v>944</v>
      </c>
      <c r="F777" s="200"/>
      <c r="G777" s="201"/>
      <c r="H777" s="202" t="s">
        <v>0</v>
      </c>
      <c r="I777" s="203"/>
      <c r="J777" s="203"/>
      <c r="K777" s="304"/>
      <c r="L777" s="302"/>
      <c r="M777" s="302">
        <f>IF(K777="x","Included in Sub Bid",G777*I777)</f>
        <v>0</v>
      </c>
      <c r="N777" s="16"/>
      <c r="O777" s="104"/>
      <c r="Q777" s="281"/>
      <c r="R777" s="281"/>
      <c r="S777" s="281"/>
      <c r="T777" s="281"/>
      <c r="U777" s="281"/>
    </row>
    <row r="778" spans="1:21" ht="12" customHeight="1" x14ac:dyDescent="0.3">
      <c r="A778" s="347" t="str">
        <f>A775</f>
        <v>Exclude</v>
      </c>
      <c r="D778" s="425"/>
      <c r="E778" s="44"/>
      <c r="F778" s="10"/>
      <c r="G778" s="21"/>
      <c r="H778" s="12"/>
      <c r="I778" s="13"/>
      <c r="J778" s="16"/>
      <c r="K778" s="304"/>
      <c r="L778" s="298"/>
      <c r="M778" s="298"/>
      <c r="N778" s="16"/>
      <c r="O778" s="104"/>
      <c r="Q778" s="281"/>
      <c r="R778" s="281"/>
      <c r="S778" s="281"/>
      <c r="T778" s="281"/>
      <c r="U778" s="281"/>
    </row>
    <row r="779" spans="1:21" x14ac:dyDescent="0.3">
      <c r="A779" s="347" t="str">
        <f t="shared" si="207"/>
        <v>Exclude</v>
      </c>
      <c r="D779" s="425"/>
      <c r="E779" s="33"/>
      <c r="F779" s="10"/>
      <c r="G779" s="21"/>
      <c r="H779" s="12"/>
      <c r="I779" s="13"/>
      <c r="J779" s="16"/>
      <c r="K779" s="301"/>
      <c r="L779" s="298"/>
      <c r="M779" s="298"/>
      <c r="N779" s="16"/>
      <c r="O779" s="114"/>
      <c r="Q779" s="281"/>
      <c r="R779" s="281"/>
      <c r="S779" s="281"/>
      <c r="T779" s="281"/>
      <c r="U779" s="281"/>
    </row>
    <row r="780" spans="1:21" ht="15.75" customHeight="1" x14ac:dyDescent="0.3">
      <c r="A780" s="347" t="str">
        <f>IF(J780=0,"Exclude","x")</f>
        <v>Exclude</v>
      </c>
      <c r="D780" s="424" t="s">
        <v>813</v>
      </c>
      <c r="E780" s="69" t="s">
        <v>742</v>
      </c>
      <c r="F780" s="56"/>
      <c r="G780" s="57"/>
      <c r="H780" s="58"/>
      <c r="I780" s="59"/>
      <c r="J780" s="60">
        <f>SUBTOTAL(9,J781:J794)</f>
        <v>0</v>
      </c>
      <c r="K780" s="59">
        <f>IFERROR(J780/$G$6,0)</f>
        <v>0</v>
      </c>
      <c r="L780" s="309"/>
      <c r="M780" s="60"/>
      <c r="N780" s="59">
        <f>SUM(M781:M794)</f>
        <v>0</v>
      </c>
      <c r="O780" s="435">
        <f>IFERROR(N780/$G$6,0)</f>
        <v>0</v>
      </c>
      <c r="Q780" s="281"/>
      <c r="R780" s="281"/>
      <c r="S780" s="281"/>
      <c r="T780" s="281"/>
      <c r="U780" s="281"/>
    </row>
    <row r="781" spans="1:21" x14ac:dyDescent="0.3">
      <c r="A781" s="347" t="str">
        <f t="shared" ref="A781:A794" si="215">A780</f>
        <v>Exclude</v>
      </c>
      <c r="D781" s="426" t="s">
        <v>1322</v>
      </c>
      <c r="E781" s="39" t="s">
        <v>1203</v>
      </c>
      <c r="F781" s="24"/>
      <c r="G781" s="292"/>
      <c r="H781" s="25"/>
      <c r="I781" s="293"/>
      <c r="J781" s="293"/>
      <c r="K781" s="301"/>
      <c r="L781" s="300">
        <v>0</v>
      </c>
      <c r="M781" s="301">
        <f>L781</f>
        <v>0</v>
      </c>
      <c r="N781" s="293"/>
      <c r="O781" s="294"/>
      <c r="Q781" s="282"/>
      <c r="R781" s="281"/>
      <c r="S781" s="283"/>
      <c r="T781" s="283"/>
      <c r="U781" s="283"/>
    </row>
    <row r="782" spans="1:21" ht="12" customHeight="1" x14ac:dyDescent="0.3">
      <c r="A782" s="347" t="str">
        <f t="shared" si="215"/>
        <v>Exclude</v>
      </c>
      <c r="D782" s="425" t="s">
        <v>1322</v>
      </c>
      <c r="E782" s="44" t="s">
        <v>99</v>
      </c>
      <c r="F782" s="10"/>
      <c r="G782" s="21"/>
      <c r="H782" s="12" t="s">
        <v>1</v>
      </c>
      <c r="I782" s="13"/>
      <c r="J782" s="16">
        <f t="shared" ref="J782:J789" si="216">G782*I782</f>
        <v>0</v>
      </c>
      <c r="K782" s="304"/>
      <c r="L782" s="298"/>
      <c r="M782" s="298">
        <f t="shared" ref="M782:M790" si="217">IF(K782="x","Included in Sub Bid",J782)</f>
        <v>0</v>
      </c>
      <c r="N782" s="16"/>
      <c r="O782" s="104"/>
      <c r="Q782" s="281"/>
      <c r="R782" s="281"/>
      <c r="S782" s="281"/>
      <c r="T782" s="281"/>
      <c r="U782" s="281"/>
    </row>
    <row r="783" spans="1:21" ht="12" customHeight="1" x14ac:dyDescent="0.3">
      <c r="A783" s="347" t="str">
        <f t="shared" si="215"/>
        <v>Exclude</v>
      </c>
      <c r="D783" s="425" t="s">
        <v>1322</v>
      </c>
      <c r="E783" s="44" t="s">
        <v>226</v>
      </c>
      <c r="F783" s="10"/>
      <c r="G783" s="21"/>
      <c r="H783" s="12" t="s">
        <v>1</v>
      </c>
      <c r="I783" s="13">
        <v>0.5</v>
      </c>
      <c r="J783" s="16">
        <f t="shared" si="216"/>
        <v>0</v>
      </c>
      <c r="K783" s="304"/>
      <c r="L783" s="298"/>
      <c r="M783" s="298">
        <f t="shared" si="217"/>
        <v>0</v>
      </c>
      <c r="N783" s="16"/>
      <c r="O783" s="104"/>
      <c r="Q783" s="281"/>
      <c r="R783" s="281"/>
      <c r="S783" s="281"/>
      <c r="T783" s="281"/>
      <c r="U783" s="281"/>
    </row>
    <row r="784" spans="1:21" ht="12" customHeight="1" x14ac:dyDescent="0.3">
      <c r="A784" s="347" t="str">
        <f t="shared" si="215"/>
        <v>Exclude</v>
      </c>
      <c r="D784" s="425" t="s">
        <v>1322</v>
      </c>
      <c r="E784" s="44" t="s">
        <v>227</v>
      </c>
      <c r="F784" s="10"/>
      <c r="G784" s="21"/>
      <c r="H784" s="12" t="s">
        <v>1</v>
      </c>
      <c r="I784" s="13"/>
      <c r="J784" s="16">
        <f t="shared" si="216"/>
        <v>0</v>
      </c>
      <c r="K784" s="304"/>
      <c r="L784" s="298"/>
      <c r="M784" s="298">
        <f t="shared" si="217"/>
        <v>0</v>
      </c>
      <c r="N784" s="16"/>
      <c r="O784" s="104"/>
      <c r="Q784" s="281"/>
      <c r="R784" s="281"/>
      <c r="S784" s="281"/>
      <c r="T784" s="281"/>
      <c r="U784" s="281"/>
    </row>
    <row r="785" spans="1:21" ht="12" customHeight="1" x14ac:dyDescent="0.3">
      <c r="A785" s="347" t="str">
        <f t="shared" si="215"/>
        <v>Exclude</v>
      </c>
      <c r="D785" s="425" t="s">
        <v>1322</v>
      </c>
      <c r="E785" s="44" t="s">
        <v>228</v>
      </c>
      <c r="F785" s="10"/>
      <c r="G785" s="21"/>
      <c r="H785" s="12" t="s">
        <v>2</v>
      </c>
      <c r="I785" s="13"/>
      <c r="J785" s="16">
        <f t="shared" si="216"/>
        <v>0</v>
      </c>
      <c r="K785" s="304"/>
      <c r="L785" s="298"/>
      <c r="M785" s="298">
        <f t="shared" si="217"/>
        <v>0</v>
      </c>
      <c r="N785" s="16"/>
      <c r="O785" s="104"/>
      <c r="Q785" s="281"/>
      <c r="R785" s="281"/>
      <c r="S785" s="281"/>
      <c r="T785" s="281"/>
      <c r="U785" s="281"/>
    </row>
    <row r="786" spans="1:21" ht="12" customHeight="1" x14ac:dyDescent="0.3">
      <c r="A786" s="347" t="str">
        <f t="shared" si="215"/>
        <v>Exclude</v>
      </c>
      <c r="D786" s="425" t="s">
        <v>1322</v>
      </c>
      <c r="E786" s="44" t="s">
        <v>229</v>
      </c>
      <c r="F786" s="10"/>
      <c r="G786" s="21"/>
      <c r="H786" s="12" t="s">
        <v>2</v>
      </c>
      <c r="I786" s="13"/>
      <c r="J786" s="16">
        <f t="shared" si="216"/>
        <v>0</v>
      </c>
      <c r="K786" s="304"/>
      <c r="L786" s="298"/>
      <c r="M786" s="298">
        <f t="shared" si="217"/>
        <v>0</v>
      </c>
      <c r="N786" s="16"/>
      <c r="O786" s="104"/>
      <c r="Q786" s="281"/>
      <c r="R786" s="281"/>
      <c r="S786" s="281"/>
      <c r="T786" s="281"/>
      <c r="U786" s="281"/>
    </row>
    <row r="787" spans="1:21" ht="12" customHeight="1" x14ac:dyDescent="0.3">
      <c r="A787" s="347" t="str">
        <f t="shared" si="215"/>
        <v>Exclude</v>
      </c>
      <c r="D787" s="425" t="s">
        <v>1322</v>
      </c>
      <c r="E787" s="44" t="s">
        <v>230</v>
      </c>
      <c r="F787" s="10"/>
      <c r="G787" s="21"/>
      <c r="H787" s="12" t="s">
        <v>3</v>
      </c>
      <c r="I787" s="13"/>
      <c r="J787" s="16">
        <f t="shared" si="216"/>
        <v>0</v>
      </c>
      <c r="K787" s="304"/>
      <c r="L787" s="298"/>
      <c r="M787" s="298">
        <f t="shared" si="217"/>
        <v>0</v>
      </c>
      <c r="N787" s="16"/>
      <c r="O787" s="104"/>
      <c r="Q787" s="281"/>
      <c r="R787" s="281"/>
      <c r="S787" s="281"/>
      <c r="T787" s="281"/>
      <c r="U787" s="281"/>
    </row>
    <row r="788" spans="1:21" ht="12" customHeight="1" x14ac:dyDescent="0.3">
      <c r="A788" s="347" t="str">
        <f t="shared" si="215"/>
        <v>Exclude</v>
      </c>
      <c r="D788" s="425" t="s">
        <v>1322</v>
      </c>
      <c r="E788" s="44" t="s">
        <v>114</v>
      </c>
      <c r="F788" s="10"/>
      <c r="G788" s="21"/>
      <c r="H788" s="12" t="s">
        <v>0</v>
      </c>
      <c r="I788" s="13"/>
      <c r="J788" s="16">
        <f t="shared" si="216"/>
        <v>0</v>
      </c>
      <c r="K788" s="304"/>
      <c r="L788" s="298"/>
      <c r="M788" s="298">
        <f t="shared" si="217"/>
        <v>0</v>
      </c>
      <c r="N788" s="16"/>
      <c r="O788" s="104"/>
      <c r="Q788" s="281"/>
      <c r="R788" s="281"/>
      <c r="S788" s="281"/>
      <c r="T788" s="281"/>
      <c r="U788" s="281"/>
    </row>
    <row r="789" spans="1:21" ht="12" customHeight="1" x14ac:dyDescent="0.3">
      <c r="A789" s="347" t="str">
        <f t="shared" si="215"/>
        <v>Exclude</v>
      </c>
      <c r="D789" s="425" t="s">
        <v>1322</v>
      </c>
      <c r="E789" s="44" t="s">
        <v>231</v>
      </c>
      <c r="F789" s="10"/>
      <c r="G789" s="21"/>
      <c r="H789" s="12" t="s">
        <v>1</v>
      </c>
      <c r="I789" s="13"/>
      <c r="J789" s="16">
        <f t="shared" si="216"/>
        <v>0</v>
      </c>
      <c r="K789" s="304"/>
      <c r="L789" s="298"/>
      <c r="M789" s="298">
        <f t="shared" si="217"/>
        <v>0</v>
      </c>
      <c r="N789" s="16"/>
      <c r="O789" s="104"/>
      <c r="Q789" s="281"/>
      <c r="R789" s="281"/>
      <c r="S789" s="281"/>
      <c r="T789" s="281"/>
      <c r="U789" s="281"/>
    </row>
    <row r="790" spans="1:21" ht="12" customHeight="1" x14ac:dyDescent="0.3">
      <c r="A790" s="347" t="str">
        <f t="shared" si="215"/>
        <v>Exclude</v>
      </c>
      <c r="D790" s="425" t="s">
        <v>1322</v>
      </c>
      <c r="E790" s="44" t="s">
        <v>461</v>
      </c>
      <c r="F790" s="10"/>
      <c r="G790" s="21"/>
      <c r="H790" s="12" t="s">
        <v>1</v>
      </c>
      <c r="I790" s="13"/>
      <c r="J790" s="16">
        <f t="shared" ref="J790" si="218">G790*I790</f>
        <v>0</v>
      </c>
      <c r="K790" s="304"/>
      <c r="L790" s="298"/>
      <c r="M790" s="298">
        <f t="shared" si="217"/>
        <v>0</v>
      </c>
      <c r="N790" s="16"/>
      <c r="O790" s="104"/>
      <c r="Q790" s="281"/>
      <c r="R790" s="281"/>
      <c r="S790" s="281"/>
      <c r="T790" s="281"/>
      <c r="U790" s="281"/>
    </row>
    <row r="791" spans="1:21" x14ac:dyDescent="0.3">
      <c r="A791" s="347" t="str">
        <f t="shared" si="215"/>
        <v>Exclude</v>
      </c>
      <c r="D791" s="427" t="s">
        <v>1322</v>
      </c>
      <c r="E791" s="199" t="s">
        <v>943</v>
      </c>
      <c r="F791" s="200"/>
      <c r="G791" s="201"/>
      <c r="H791" s="202" t="s">
        <v>0</v>
      </c>
      <c r="I791" s="203"/>
      <c r="J791" s="203"/>
      <c r="K791" s="304"/>
      <c r="L791" s="302"/>
      <c r="M791" s="302">
        <f>IF(K791="x","Included in Sub Bid",G791*I791)</f>
        <v>0</v>
      </c>
      <c r="N791" s="16"/>
      <c r="O791" s="104"/>
      <c r="Q791" s="281"/>
      <c r="R791" s="281"/>
      <c r="S791" s="281"/>
      <c r="T791" s="281"/>
      <c r="U791" s="281"/>
    </row>
    <row r="792" spans="1:21" x14ac:dyDescent="0.3">
      <c r="A792" s="347" t="str">
        <f t="shared" si="215"/>
        <v>Exclude</v>
      </c>
      <c r="D792" s="427" t="s">
        <v>1322</v>
      </c>
      <c r="E792" s="199" t="s">
        <v>944</v>
      </c>
      <c r="F792" s="200"/>
      <c r="G792" s="201"/>
      <c r="H792" s="202" t="s">
        <v>0</v>
      </c>
      <c r="I792" s="203"/>
      <c r="J792" s="203"/>
      <c r="K792" s="304"/>
      <c r="L792" s="302"/>
      <c r="M792" s="302">
        <f>IF(K792="x","Included in Sub Bid",G792*I792)</f>
        <v>0</v>
      </c>
      <c r="N792" s="16"/>
      <c r="O792" s="104"/>
      <c r="Q792" s="281"/>
      <c r="R792" s="281"/>
      <c r="S792" s="281"/>
      <c r="T792" s="281"/>
      <c r="U792" s="281"/>
    </row>
    <row r="793" spans="1:21" ht="12" customHeight="1" x14ac:dyDescent="0.3">
      <c r="A793" s="347" t="str">
        <f t="shared" si="215"/>
        <v>Exclude</v>
      </c>
      <c r="D793" s="425"/>
      <c r="E793" s="44"/>
      <c r="F793" s="10"/>
      <c r="G793" s="21"/>
      <c r="H793" s="12"/>
      <c r="I793" s="13"/>
      <c r="J793" s="16"/>
      <c r="K793" s="304"/>
      <c r="L793" s="298"/>
      <c r="M793" s="298"/>
      <c r="N793" s="16"/>
      <c r="O793" s="104"/>
      <c r="Q793" s="281"/>
      <c r="R793" s="281"/>
      <c r="S793" s="281"/>
      <c r="T793" s="281"/>
      <c r="U793" s="281"/>
    </row>
    <row r="794" spans="1:21" x14ac:dyDescent="0.3">
      <c r="A794" s="347" t="str">
        <f t="shared" si="215"/>
        <v>Exclude</v>
      </c>
      <c r="D794" s="425"/>
      <c r="E794" s="33"/>
      <c r="F794" s="10"/>
      <c r="G794" s="21"/>
      <c r="H794" s="12"/>
      <c r="I794" s="13"/>
      <c r="J794" s="16"/>
      <c r="K794" s="301"/>
      <c r="L794" s="298"/>
      <c r="M794" s="298"/>
      <c r="N794" s="16"/>
      <c r="O794" s="104"/>
      <c r="Q794" s="281"/>
      <c r="R794" s="281"/>
      <c r="S794" s="281"/>
      <c r="T794" s="281"/>
      <c r="U794" s="281"/>
    </row>
    <row r="795" spans="1:21" ht="15.75" customHeight="1" x14ac:dyDescent="0.35">
      <c r="A795" s="347" t="str">
        <f>IF(J795=0,"Exclude","x")</f>
        <v>Exclude</v>
      </c>
      <c r="D795" s="431"/>
      <c r="E795" s="68" t="s">
        <v>121</v>
      </c>
      <c r="F795" s="63"/>
      <c r="G795" s="64"/>
      <c r="H795" s="65"/>
      <c r="I795" s="66"/>
      <c r="J795" s="66">
        <f>SUBTOTAL(9,J796:J830)</f>
        <v>0</v>
      </c>
      <c r="K795" s="438">
        <f>IFERROR(J795/$G$6,0)</f>
        <v>0</v>
      </c>
      <c r="L795" s="311"/>
      <c r="M795" s="66"/>
      <c r="N795" s="66">
        <f>N796</f>
        <v>0</v>
      </c>
      <c r="O795" s="317">
        <f>IFERROR(N795/$G$6,0)</f>
        <v>0</v>
      </c>
      <c r="Q795" s="281"/>
      <c r="R795" s="281"/>
      <c r="S795" s="281"/>
      <c r="T795" s="281"/>
      <c r="U795" s="281"/>
    </row>
    <row r="796" spans="1:21" ht="15.75" customHeight="1" x14ac:dyDescent="0.3">
      <c r="A796" s="347" t="str">
        <f>IF(J796=0,"Exclude","x")</f>
        <v>Exclude</v>
      </c>
      <c r="D796" s="424" t="s">
        <v>812</v>
      </c>
      <c r="E796" s="69" t="s">
        <v>121</v>
      </c>
      <c r="F796" s="56"/>
      <c r="G796" s="57"/>
      <c r="H796" s="58"/>
      <c r="I796" s="59"/>
      <c r="J796" s="60">
        <f>SUBTOTAL(9,J797:J830)</f>
        <v>0</v>
      </c>
      <c r="K796" s="59">
        <f>IFERROR(J796/$G$6,0)</f>
        <v>0</v>
      </c>
      <c r="L796" s="309"/>
      <c r="M796" s="60"/>
      <c r="N796" s="59">
        <f>SUM(M797:M830)</f>
        <v>0</v>
      </c>
      <c r="O796" s="435">
        <f>IFERROR(N796/$G$6,0)</f>
        <v>0</v>
      </c>
      <c r="Q796" s="281"/>
      <c r="R796" s="281"/>
      <c r="S796" s="281"/>
      <c r="T796" s="281"/>
      <c r="U796" s="281"/>
    </row>
    <row r="797" spans="1:21" x14ac:dyDescent="0.3">
      <c r="A797" s="347" t="str">
        <f t="shared" ref="A797:A830" si="219">A796</f>
        <v>Exclude</v>
      </c>
      <c r="D797" s="426" t="s">
        <v>1323</v>
      </c>
      <c r="E797" s="39" t="s">
        <v>1203</v>
      </c>
      <c r="F797" s="24"/>
      <c r="G797" s="292"/>
      <c r="H797" s="25"/>
      <c r="I797" s="293"/>
      <c r="J797" s="293"/>
      <c r="K797" s="301"/>
      <c r="L797" s="300">
        <v>0</v>
      </c>
      <c r="M797" s="301">
        <f>L797</f>
        <v>0</v>
      </c>
      <c r="N797" s="293"/>
      <c r="O797" s="294"/>
      <c r="Q797" s="282"/>
      <c r="R797" s="281"/>
      <c r="S797" s="283"/>
      <c r="T797" s="283"/>
      <c r="U797" s="283"/>
    </row>
    <row r="798" spans="1:21" x14ac:dyDescent="0.3">
      <c r="A798" s="347" t="str">
        <f t="shared" si="219"/>
        <v>Exclude</v>
      </c>
      <c r="D798" s="425" t="s">
        <v>1323</v>
      </c>
      <c r="E798" s="36" t="s">
        <v>377</v>
      </c>
      <c r="F798" s="10"/>
      <c r="G798" s="21"/>
      <c r="H798" s="12" t="s">
        <v>2</v>
      </c>
      <c r="I798" s="13">
        <v>40</v>
      </c>
      <c r="J798" s="16">
        <f t="shared" ref="J798:J801" si="220">I798*G798</f>
        <v>0</v>
      </c>
      <c r="K798" s="304"/>
      <c r="L798" s="298"/>
      <c r="M798" s="298">
        <f t="shared" ref="M798:M826" si="221">IF(K798="x","Included in Sub Bid",J798)</f>
        <v>0</v>
      </c>
      <c r="N798" s="16"/>
      <c r="O798" s="104"/>
      <c r="Q798" s="281"/>
      <c r="R798" s="281"/>
      <c r="S798" s="281"/>
      <c r="T798" s="281"/>
      <c r="U798" s="281"/>
    </row>
    <row r="799" spans="1:21" x14ac:dyDescent="0.3">
      <c r="A799" s="347" t="str">
        <f t="shared" si="219"/>
        <v>Exclude</v>
      </c>
      <c r="D799" s="425" t="s">
        <v>1323</v>
      </c>
      <c r="E799" s="36" t="s">
        <v>378</v>
      </c>
      <c r="F799" s="10"/>
      <c r="G799" s="21"/>
      <c r="H799" s="12" t="s">
        <v>1</v>
      </c>
      <c r="I799" s="13"/>
      <c r="J799" s="16">
        <f t="shared" si="220"/>
        <v>0</v>
      </c>
      <c r="K799" s="304"/>
      <c r="L799" s="298"/>
      <c r="M799" s="298">
        <f t="shared" si="221"/>
        <v>0</v>
      </c>
      <c r="N799" s="16"/>
      <c r="O799" s="104"/>
      <c r="Q799" s="281"/>
      <c r="R799" s="281"/>
      <c r="S799" s="281"/>
      <c r="T799" s="281"/>
      <c r="U799" s="281"/>
    </row>
    <row r="800" spans="1:21" x14ac:dyDescent="0.3">
      <c r="A800" s="347" t="str">
        <f t="shared" si="219"/>
        <v>Exclude</v>
      </c>
      <c r="D800" s="425" t="s">
        <v>1323</v>
      </c>
      <c r="E800" s="36" t="s">
        <v>379</v>
      </c>
      <c r="F800" s="10"/>
      <c r="G800" s="21"/>
      <c r="H800" s="12" t="s">
        <v>2</v>
      </c>
      <c r="I800" s="13">
        <v>3500</v>
      </c>
      <c r="J800" s="16">
        <f t="shared" si="220"/>
        <v>0</v>
      </c>
      <c r="K800" s="304"/>
      <c r="L800" s="298"/>
      <c r="M800" s="298">
        <f t="shared" si="221"/>
        <v>0</v>
      </c>
      <c r="N800" s="16"/>
      <c r="O800" s="104"/>
      <c r="Q800" s="281"/>
      <c r="R800" s="281"/>
      <c r="S800" s="281"/>
      <c r="T800" s="281"/>
      <c r="U800" s="281"/>
    </row>
    <row r="801" spans="1:21" x14ac:dyDescent="0.3">
      <c r="A801" s="347" t="str">
        <f t="shared" si="219"/>
        <v>Exclude</v>
      </c>
      <c r="D801" s="425" t="s">
        <v>1323</v>
      </c>
      <c r="E801" s="36" t="s">
        <v>380</v>
      </c>
      <c r="F801" s="10"/>
      <c r="G801" s="21"/>
      <c r="H801" s="12" t="s">
        <v>2</v>
      </c>
      <c r="I801" s="13"/>
      <c r="J801" s="16">
        <f t="shared" si="220"/>
        <v>0</v>
      </c>
      <c r="K801" s="304"/>
      <c r="L801" s="298"/>
      <c r="M801" s="298">
        <f t="shared" si="221"/>
        <v>0</v>
      </c>
      <c r="N801" s="16"/>
      <c r="O801" s="104"/>
      <c r="Q801" s="281"/>
      <c r="R801" s="281"/>
      <c r="S801" s="281"/>
      <c r="T801" s="281"/>
      <c r="U801" s="281"/>
    </row>
    <row r="802" spans="1:21" x14ac:dyDescent="0.3">
      <c r="A802" s="347" t="str">
        <f t="shared" si="219"/>
        <v>Exclude</v>
      </c>
      <c r="D802" s="425" t="s">
        <v>1323</v>
      </c>
      <c r="E802" s="36" t="s">
        <v>429</v>
      </c>
      <c r="F802" s="10"/>
      <c r="G802" s="21"/>
      <c r="H802" s="12" t="s">
        <v>2</v>
      </c>
      <c r="I802" s="13"/>
      <c r="J802" s="16">
        <f t="shared" ref="J802:J820" si="222">I802*G802</f>
        <v>0</v>
      </c>
      <c r="K802" s="304"/>
      <c r="L802" s="298"/>
      <c r="M802" s="298">
        <f t="shared" si="221"/>
        <v>0</v>
      </c>
      <c r="N802" s="16"/>
      <c r="O802" s="104"/>
      <c r="Q802" s="281"/>
      <c r="R802" s="281"/>
      <c r="S802" s="281"/>
      <c r="T802" s="281"/>
      <c r="U802" s="281"/>
    </row>
    <row r="803" spans="1:21" x14ac:dyDescent="0.3">
      <c r="A803" s="347" t="str">
        <f t="shared" si="219"/>
        <v>Exclude</v>
      </c>
      <c r="D803" s="425" t="s">
        <v>1323</v>
      </c>
      <c r="E803" s="36" t="s">
        <v>430</v>
      </c>
      <c r="F803" s="10"/>
      <c r="G803" s="21"/>
      <c r="H803" s="12" t="s">
        <v>2</v>
      </c>
      <c r="I803" s="13"/>
      <c r="J803" s="16">
        <f t="shared" si="222"/>
        <v>0</v>
      </c>
      <c r="K803" s="304"/>
      <c r="L803" s="298"/>
      <c r="M803" s="298">
        <f t="shared" si="221"/>
        <v>0</v>
      </c>
      <c r="N803" s="16"/>
      <c r="O803" s="104"/>
      <c r="Q803" s="281"/>
      <c r="R803" s="281"/>
      <c r="S803" s="281"/>
      <c r="T803" s="281"/>
      <c r="U803" s="281"/>
    </row>
    <row r="804" spans="1:21" x14ac:dyDescent="0.3">
      <c r="A804" s="347" t="str">
        <f t="shared" si="219"/>
        <v>Exclude</v>
      </c>
      <c r="D804" s="425" t="s">
        <v>1323</v>
      </c>
      <c r="E804" s="36" t="s">
        <v>431</v>
      </c>
      <c r="F804" s="10"/>
      <c r="G804" s="21"/>
      <c r="H804" s="12" t="s">
        <v>2</v>
      </c>
      <c r="I804" s="13"/>
      <c r="J804" s="16">
        <f t="shared" si="222"/>
        <v>0</v>
      </c>
      <c r="K804" s="304"/>
      <c r="L804" s="298"/>
      <c r="M804" s="298">
        <f t="shared" si="221"/>
        <v>0</v>
      </c>
      <c r="N804" s="16"/>
      <c r="O804" s="104"/>
      <c r="Q804" s="281"/>
      <c r="R804" s="281"/>
      <c r="S804" s="281"/>
      <c r="T804" s="281"/>
      <c r="U804" s="281"/>
    </row>
    <row r="805" spans="1:21" x14ac:dyDescent="0.3">
      <c r="A805" s="347" t="str">
        <f t="shared" si="219"/>
        <v>Exclude</v>
      </c>
      <c r="D805" s="425" t="s">
        <v>1323</v>
      </c>
      <c r="E805" s="36" t="s">
        <v>1163</v>
      </c>
      <c r="F805" s="10"/>
      <c r="G805" s="21">
        <f>G6/40000</f>
        <v>0</v>
      </c>
      <c r="H805" s="12" t="s">
        <v>2</v>
      </c>
      <c r="I805" s="13">
        <v>100</v>
      </c>
      <c r="J805" s="16">
        <f t="shared" si="222"/>
        <v>0</v>
      </c>
      <c r="K805" s="304"/>
      <c r="L805" s="298"/>
      <c r="M805" s="298">
        <f t="shared" si="221"/>
        <v>0</v>
      </c>
      <c r="N805" s="16"/>
      <c r="O805" s="104"/>
      <c r="Q805" s="281"/>
      <c r="R805" s="281"/>
      <c r="S805" s="281"/>
      <c r="T805" s="281"/>
      <c r="U805" s="281"/>
    </row>
    <row r="806" spans="1:21" x14ac:dyDescent="0.3">
      <c r="A806" s="347" t="str">
        <f t="shared" si="219"/>
        <v>Exclude</v>
      </c>
      <c r="D806" s="425" t="s">
        <v>1323</v>
      </c>
      <c r="E806" s="36" t="s">
        <v>1164</v>
      </c>
      <c r="F806" s="10"/>
      <c r="G806" s="21"/>
      <c r="H806" s="12" t="s">
        <v>2</v>
      </c>
      <c r="I806" s="13">
        <v>100</v>
      </c>
      <c r="J806" s="16">
        <f t="shared" ref="J806" si="223">I806*G806</f>
        <v>0</v>
      </c>
      <c r="K806" s="304"/>
      <c r="L806" s="298"/>
      <c r="M806" s="298">
        <f t="shared" si="221"/>
        <v>0</v>
      </c>
      <c r="N806" s="16"/>
      <c r="O806" s="104"/>
      <c r="Q806" s="281"/>
      <c r="R806" s="281"/>
      <c r="S806" s="281"/>
      <c r="T806" s="281"/>
      <c r="U806" s="281"/>
    </row>
    <row r="807" spans="1:21" x14ac:dyDescent="0.3">
      <c r="A807" s="347" t="str">
        <f t="shared" si="219"/>
        <v>Exclude</v>
      </c>
      <c r="D807" s="425" t="s">
        <v>1323</v>
      </c>
      <c r="E807" s="36" t="s">
        <v>432</v>
      </c>
      <c r="F807" s="10"/>
      <c r="G807" s="21"/>
      <c r="H807" s="12" t="s">
        <v>2</v>
      </c>
      <c r="I807" s="13"/>
      <c r="J807" s="16">
        <f t="shared" si="222"/>
        <v>0</v>
      </c>
      <c r="K807" s="304"/>
      <c r="L807" s="298"/>
      <c r="M807" s="298">
        <f t="shared" si="221"/>
        <v>0</v>
      </c>
      <c r="N807" s="16"/>
      <c r="O807" s="104"/>
      <c r="Q807" s="281"/>
      <c r="R807" s="281"/>
      <c r="S807" s="281"/>
      <c r="T807" s="281"/>
      <c r="U807" s="281"/>
    </row>
    <row r="808" spans="1:21" x14ac:dyDescent="0.3">
      <c r="A808" s="347" t="str">
        <f>A806</f>
        <v>Exclude</v>
      </c>
      <c r="D808" s="425" t="s">
        <v>1323</v>
      </c>
      <c r="E808" s="36" t="s">
        <v>1265</v>
      </c>
      <c r="F808" s="10"/>
      <c r="G808" s="21">
        <f>IF(G6=0,0,1)</f>
        <v>0</v>
      </c>
      <c r="H808" s="12" t="s">
        <v>0</v>
      </c>
      <c r="I808" s="13">
        <v>500</v>
      </c>
      <c r="J808" s="16">
        <f t="shared" ref="J808" si="224">I808*G808</f>
        <v>0</v>
      </c>
      <c r="K808" s="304"/>
      <c r="L808" s="298"/>
      <c r="M808" s="298">
        <f t="shared" ref="M808" si="225">IF(K808="x","Included in Sub Bid",J808)</f>
        <v>0</v>
      </c>
      <c r="N808" s="16"/>
      <c r="O808" s="104"/>
      <c r="Q808" s="281"/>
      <c r="R808" s="281"/>
      <c r="S808" s="281"/>
      <c r="T808" s="281"/>
      <c r="U808" s="281"/>
    </row>
    <row r="809" spans="1:21" x14ac:dyDescent="0.3">
      <c r="A809" s="347" t="str">
        <f>A807</f>
        <v>Exclude</v>
      </c>
      <c r="D809" s="425" t="s">
        <v>1323</v>
      </c>
      <c r="E809" s="36" t="s">
        <v>790</v>
      </c>
      <c r="F809" s="10"/>
      <c r="G809" s="21"/>
      <c r="H809" s="12" t="s">
        <v>1</v>
      </c>
      <c r="I809" s="13">
        <v>50</v>
      </c>
      <c r="J809" s="16">
        <f t="shared" si="222"/>
        <v>0</v>
      </c>
      <c r="K809" s="304"/>
      <c r="L809" s="298"/>
      <c r="M809" s="298">
        <f t="shared" si="221"/>
        <v>0</v>
      </c>
      <c r="N809" s="16"/>
      <c r="O809" s="104"/>
      <c r="Q809" s="281"/>
      <c r="R809" s="281"/>
      <c r="S809" s="281"/>
      <c r="T809" s="281"/>
      <c r="U809" s="281"/>
    </row>
    <row r="810" spans="1:21" x14ac:dyDescent="0.3">
      <c r="A810" s="347" t="str">
        <f t="shared" si="219"/>
        <v>Exclude</v>
      </c>
      <c r="D810" s="425" t="s">
        <v>1323</v>
      </c>
      <c r="E810" s="36" t="s">
        <v>791</v>
      </c>
      <c r="F810" s="10"/>
      <c r="G810" s="21"/>
      <c r="H810" s="12" t="s">
        <v>0</v>
      </c>
      <c r="I810" s="13">
        <v>10000</v>
      </c>
      <c r="J810" s="16">
        <f t="shared" si="222"/>
        <v>0</v>
      </c>
      <c r="K810" s="304"/>
      <c r="L810" s="298"/>
      <c r="M810" s="298">
        <f t="shared" si="221"/>
        <v>0</v>
      </c>
      <c r="N810" s="16"/>
      <c r="O810" s="104"/>
      <c r="Q810" s="281"/>
      <c r="R810" s="281"/>
      <c r="S810" s="281"/>
      <c r="T810" s="281"/>
      <c r="U810" s="281"/>
    </row>
    <row r="811" spans="1:21" x14ac:dyDescent="0.3">
      <c r="A811" s="347" t="str">
        <f t="shared" si="219"/>
        <v>Exclude</v>
      </c>
      <c r="D811" s="425" t="s">
        <v>1323</v>
      </c>
      <c r="E811" s="36" t="s">
        <v>477</v>
      </c>
      <c r="F811" s="10"/>
      <c r="G811" s="21"/>
      <c r="H811" s="12" t="s">
        <v>2</v>
      </c>
      <c r="I811" s="13"/>
      <c r="J811" s="16">
        <f t="shared" si="222"/>
        <v>0</v>
      </c>
      <c r="K811" s="304"/>
      <c r="L811" s="298"/>
      <c r="M811" s="298">
        <f t="shared" si="221"/>
        <v>0</v>
      </c>
      <c r="N811" s="16"/>
      <c r="O811" s="104"/>
      <c r="Q811" s="281"/>
      <c r="R811" s="281"/>
      <c r="S811" s="281"/>
      <c r="T811" s="281"/>
      <c r="U811" s="281"/>
    </row>
    <row r="812" spans="1:21" x14ac:dyDescent="0.3">
      <c r="A812" s="347" t="str">
        <f t="shared" si="219"/>
        <v>Exclude</v>
      </c>
      <c r="D812" s="425" t="s">
        <v>1323</v>
      </c>
      <c r="E812" s="36" t="s">
        <v>405</v>
      </c>
      <c r="F812" s="10"/>
      <c r="G812" s="21"/>
      <c r="H812" s="12" t="s">
        <v>2</v>
      </c>
      <c r="I812" s="13"/>
      <c r="J812" s="16">
        <f t="shared" si="222"/>
        <v>0</v>
      </c>
      <c r="K812" s="304"/>
      <c r="L812" s="298"/>
      <c r="M812" s="298">
        <f t="shared" si="221"/>
        <v>0</v>
      </c>
      <c r="N812" s="16"/>
      <c r="O812" s="104"/>
      <c r="Q812" s="281"/>
      <c r="R812" s="281"/>
      <c r="S812" s="281"/>
      <c r="T812" s="281"/>
      <c r="U812" s="281"/>
    </row>
    <row r="813" spans="1:21" x14ac:dyDescent="0.3">
      <c r="A813" s="347" t="str">
        <f t="shared" si="219"/>
        <v>Exclude</v>
      </c>
      <c r="D813" s="425" t="s">
        <v>1323</v>
      </c>
      <c r="E813" s="36" t="s">
        <v>1165</v>
      </c>
      <c r="F813" s="10"/>
      <c r="G813" s="21"/>
      <c r="H813" s="12" t="s">
        <v>2</v>
      </c>
      <c r="I813" s="13">
        <v>4000</v>
      </c>
      <c r="J813" s="16">
        <f t="shared" si="222"/>
        <v>0</v>
      </c>
      <c r="K813" s="304"/>
      <c r="L813" s="298"/>
      <c r="M813" s="298">
        <f t="shared" si="221"/>
        <v>0</v>
      </c>
      <c r="N813" s="16"/>
      <c r="O813" s="104"/>
      <c r="Q813" s="281"/>
      <c r="R813" s="281"/>
      <c r="S813" s="281"/>
      <c r="T813" s="281"/>
      <c r="U813" s="281"/>
    </row>
    <row r="814" spans="1:21" x14ac:dyDescent="0.3">
      <c r="A814" s="347" t="str">
        <f t="shared" si="219"/>
        <v>Exclude</v>
      </c>
      <c r="D814" s="425" t="s">
        <v>1323</v>
      </c>
      <c r="E814" s="36" t="s">
        <v>1159</v>
      </c>
      <c r="F814" s="10"/>
      <c r="G814" s="21"/>
      <c r="H814" s="12" t="s">
        <v>2</v>
      </c>
      <c r="I814" s="13">
        <v>1200</v>
      </c>
      <c r="J814" s="16">
        <f t="shared" si="222"/>
        <v>0</v>
      </c>
      <c r="K814" s="304"/>
      <c r="L814" s="298"/>
      <c r="M814" s="298">
        <f t="shared" si="221"/>
        <v>0</v>
      </c>
      <c r="N814" s="16"/>
      <c r="O814" s="104"/>
      <c r="Q814" s="281"/>
      <c r="R814" s="281"/>
      <c r="S814" s="281"/>
      <c r="T814" s="281"/>
      <c r="U814" s="281"/>
    </row>
    <row r="815" spans="1:21" x14ac:dyDescent="0.3">
      <c r="A815" s="347" t="str">
        <f t="shared" si="219"/>
        <v>Exclude</v>
      </c>
      <c r="D815" s="425" t="s">
        <v>1323</v>
      </c>
      <c r="E815" s="36" t="s">
        <v>1160</v>
      </c>
      <c r="F815" s="10"/>
      <c r="G815" s="21"/>
      <c r="H815" s="12" t="s">
        <v>2</v>
      </c>
      <c r="I815" s="13">
        <v>1200</v>
      </c>
      <c r="J815" s="16">
        <f t="shared" ref="J815" si="226">I815*G815</f>
        <v>0</v>
      </c>
      <c r="K815" s="304"/>
      <c r="L815" s="298"/>
      <c r="M815" s="298">
        <f t="shared" si="221"/>
        <v>0</v>
      </c>
      <c r="N815" s="16"/>
      <c r="O815" s="104"/>
      <c r="Q815" s="281"/>
      <c r="R815" s="281"/>
      <c r="S815" s="281"/>
      <c r="T815" s="281"/>
      <c r="U815" s="281"/>
    </row>
    <row r="816" spans="1:21" x14ac:dyDescent="0.3">
      <c r="A816" s="347" t="str">
        <f t="shared" si="219"/>
        <v>Exclude</v>
      </c>
      <c r="D816" s="425" t="s">
        <v>1323</v>
      </c>
      <c r="E816" s="36" t="s">
        <v>1162</v>
      </c>
      <c r="F816" s="10"/>
      <c r="G816" s="21"/>
      <c r="H816" s="12" t="s">
        <v>2</v>
      </c>
      <c r="I816" s="13">
        <v>200</v>
      </c>
      <c r="J816" s="16">
        <f t="shared" si="222"/>
        <v>0</v>
      </c>
      <c r="K816" s="304"/>
      <c r="L816" s="298"/>
      <c r="M816" s="298">
        <f t="shared" si="221"/>
        <v>0</v>
      </c>
      <c r="N816" s="16"/>
      <c r="O816" s="104"/>
      <c r="Q816" s="281"/>
      <c r="R816" s="281"/>
      <c r="S816" s="281"/>
      <c r="T816" s="281"/>
      <c r="U816" s="281"/>
    </row>
    <row r="817" spans="1:21" x14ac:dyDescent="0.3">
      <c r="A817" s="347" t="str">
        <f t="shared" si="219"/>
        <v>Exclude</v>
      </c>
      <c r="D817" s="425" t="s">
        <v>1323</v>
      </c>
      <c r="E817" s="36" t="s">
        <v>1161</v>
      </c>
      <c r="F817" s="10"/>
      <c r="G817" s="21"/>
      <c r="H817" s="12" t="s">
        <v>2</v>
      </c>
      <c r="I817" s="13">
        <v>200</v>
      </c>
      <c r="J817" s="16">
        <f t="shared" ref="J817" si="227">I817*G817</f>
        <v>0</v>
      </c>
      <c r="K817" s="304"/>
      <c r="L817" s="298"/>
      <c r="M817" s="298">
        <f t="shared" si="221"/>
        <v>0</v>
      </c>
      <c r="N817" s="16"/>
      <c r="O817" s="104"/>
      <c r="Q817" s="281"/>
      <c r="R817" s="281"/>
      <c r="S817" s="281"/>
      <c r="T817" s="281"/>
      <c r="U817" s="281"/>
    </row>
    <row r="818" spans="1:21" x14ac:dyDescent="0.3">
      <c r="A818" s="347" t="str">
        <f t="shared" si="219"/>
        <v>Exclude</v>
      </c>
      <c r="D818" s="425" t="s">
        <v>1323</v>
      </c>
      <c r="E818" s="36" t="s">
        <v>166</v>
      </c>
      <c r="F818" s="10"/>
      <c r="G818" s="21"/>
      <c r="H818" s="12" t="s">
        <v>2</v>
      </c>
      <c r="I818" s="13">
        <v>85</v>
      </c>
      <c r="J818" s="16">
        <f t="shared" si="222"/>
        <v>0</v>
      </c>
      <c r="K818" s="304"/>
      <c r="L818" s="298"/>
      <c r="M818" s="298">
        <f t="shared" si="221"/>
        <v>0</v>
      </c>
      <c r="N818" s="16"/>
      <c r="O818" s="104"/>
      <c r="Q818" s="281"/>
      <c r="R818" s="281"/>
      <c r="S818" s="281"/>
      <c r="T818" s="281"/>
      <c r="U818" s="281"/>
    </row>
    <row r="819" spans="1:21" x14ac:dyDescent="0.3">
      <c r="A819" s="347" t="str">
        <f t="shared" si="219"/>
        <v>Exclude</v>
      </c>
      <c r="D819" s="425" t="s">
        <v>1323</v>
      </c>
      <c r="E819" s="36" t="s">
        <v>1158</v>
      </c>
      <c r="F819" s="10"/>
      <c r="G819" s="21"/>
      <c r="H819" s="12" t="s">
        <v>2</v>
      </c>
      <c r="I819" s="13">
        <v>250</v>
      </c>
      <c r="J819" s="16">
        <f t="shared" si="222"/>
        <v>0</v>
      </c>
      <c r="K819" s="304"/>
      <c r="L819" s="298"/>
      <c r="M819" s="298">
        <f t="shared" si="221"/>
        <v>0</v>
      </c>
      <c r="N819" s="16"/>
      <c r="O819" s="104"/>
      <c r="Q819" s="281"/>
      <c r="R819" s="281"/>
      <c r="S819" s="281"/>
      <c r="T819" s="281"/>
      <c r="U819" s="281"/>
    </row>
    <row r="820" spans="1:21" x14ac:dyDescent="0.3">
      <c r="A820" s="347" t="str">
        <f t="shared" si="219"/>
        <v>Exclude</v>
      </c>
      <c r="D820" s="425" t="s">
        <v>1323</v>
      </c>
      <c r="E820" s="36" t="s">
        <v>1157</v>
      </c>
      <c r="F820" s="10"/>
      <c r="G820" s="21"/>
      <c r="H820" s="12" t="s">
        <v>2</v>
      </c>
      <c r="I820" s="13">
        <v>50</v>
      </c>
      <c r="J820" s="16">
        <f t="shared" si="222"/>
        <v>0</v>
      </c>
      <c r="K820" s="304"/>
      <c r="L820" s="298"/>
      <c r="M820" s="298">
        <f t="shared" si="221"/>
        <v>0</v>
      </c>
      <c r="N820" s="16"/>
      <c r="O820" s="104"/>
      <c r="Q820" s="281"/>
      <c r="R820" s="281"/>
      <c r="S820" s="281"/>
      <c r="T820" s="281"/>
      <c r="U820" s="281"/>
    </row>
    <row r="821" spans="1:21" x14ac:dyDescent="0.3">
      <c r="A821" s="347" t="str">
        <f t="shared" si="219"/>
        <v>Exclude</v>
      </c>
      <c r="D821" s="425" t="s">
        <v>1323</v>
      </c>
      <c r="E821" s="36" t="s">
        <v>1156</v>
      </c>
      <c r="F821" s="10"/>
      <c r="G821" s="21"/>
      <c r="H821" s="12" t="s">
        <v>2</v>
      </c>
      <c r="I821" s="13">
        <v>50</v>
      </c>
      <c r="J821" s="16">
        <f t="shared" ref="J821:J826" si="228">I821*G821</f>
        <v>0</v>
      </c>
      <c r="K821" s="304"/>
      <c r="L821" s="298"/>
      <c r="M821" s="298">
        <f t="shared" si="221"/>
        <v>0</v>
      </c>
      <c r="N821" s="16"/>
      <c r="O821" s="104"/>
      <c r="Q821" s="281"/>
      <c r="R821" s="281"/>
      <c r="S821" s="281"/>
      <c r="T821" s="281"/>
      <c r="U821" s="281"/>
    </row>
    <row r="822" spans="1:21" x14ac:dyDescent="0.3">
      <c r="A822" s="347" t="str">
        <f t="shared" si="219"/>
        <v>Exclude</v>
      </c>
      <c r="D822" s="425" t="s">
        <v>1323</v>
      </c>
      <c r="E822" s="36" t="s">
        <v>1155</v>
      </c>
      <c r="F822" s="10"/>
      <c r="G822" s="21"/>
      <c r="H822" s="12" t="s">
        <v>2</v>
      </c>
      <c r="I822" s="13">
        <v>50</v>
      </c>
      <c r="J822" s="16">
        <f t="shared" si="228"/>
        <v>0</v>
      </c>
      <c r="K822" s="304"/>
      <c r="L822" s="298"/>
      <c r="M822" s="298">
        <f t="shared" si="221"/>
        <v>0</v>
      </c>
      <c r="N822" s="16"/>
      <c r="O822" s="104"/>
      <c r="Q822" s="281"/>
      <c r="R822" s="281"/>
      <c r="S822" s="281"/>
      <c r="T822" s="281"/>
      <c r="U822" s="281"/>
    </row>
    <row r="823" spans="1:21" x14ac:dyDescent="0.3">
      <c r="A823" s="347" t="str">
        <f t="shared" si="219"/>
        <v>Exclude</v>
      </c>
      <c r="D823" s="425" t="s">
        <v>1323</v>
      </c>
      <c r="E823" s="36" t="s">
        <v>1154</v>
      </c>
      <c r="F823" s="10"/>
      <c r="G823" s="21"/>
      <c r="H823" s="12" t="s">
        <v>2</v>
      </c>
      <c r="I823" s="13"/>
      <c r="J823" s="16">
        <f t="shared" si="228"/>
        <v>0</v>
      </c>
      <c r="K823" s="304"/>
      <c r="L823" s="298"/>
      <c r="M823" s="298">
        <f t="shared" si="221"/>
        <v>0</v>
      </c>
      <c r="N823" s="16"/>
      <c r="O823" s="104"/>
      <c r="Q823" s="281"/>
      <c r="R823" s="281"/>
      <c r="S823" s="281"/>
      <c r="T823" s="281"/>
      <c r="U823" s="281"/>
    </row>
    <row r="824" spans="1:21" x14ac:dyDescent="0.3">
      <c r="A824" s="347" t="str">
        <f t="shared" si="219"/>
        <v>Exclude</v>
      </c>
      <c r="D824" s="425" t="s">
        <v>1323</v>
      </c>
      <c r="E824" s="36" t="s">
        <v>1153</v>
      </c>
      <c r="F824" s="10"/>
      <c r="G824" s="21"/>
      <c r="H824" s="12" t="s">
        <v>2</v>
      </c>
      <c r="I824" s="13">
        <v>150</v>
      </c>
      <c r="J824" s="16">
        <f t="shared" si="228"/>
        <v>0</v>
      </c>
      <c r="K824" s="304"/>
      <c r="L824" s="298"/>
      <c r="M824" s="298">
        <f t="shared" si="221"/>
        <v>0</v>
      </c>
      <c r="N824" s="16"/>
      <c r="O824" s="104"/>
      <c r="Q824" s="281"/>
      <c r="R824" s="281"/>
      <c r="S824" s="281"/>
      <c r="T824" s="281"/>
      <c r="U824" s="281"/>
    </row>
    <row r="825" spans="1:21" x14ac:dyDescent="0.3">
      <c r="A825" s="347" t="str">
        <f t="shared" si="219"/>
        <v>Exclude</v>
      </c>
      <c r="D825" s="425" t="s">
        <v>1323</v>
      </c>
      <c r="E825" s="36" t="s">
        <v>787</v>
      </c>
      <c r="F825" s="10"/>
      <c r="G825" s="21"/>
      <c r="H825" s="12" t="s">
        <v>2</v>
      </c>
      <c r="I825" s="13">
        <v>25</v>
      </c>
      <c r="J825" s="16">
        <f t="shared" ref="J825" si="229">I825*G825</f>
        <v>0</v>
      </c>
      <c r="K825" s="304"/>
      <c r="L825" s="298"/>
      <c r="M825" s="298">
        <f t="shared" si="221"/>
        <v>0</v>
      </c>
      <c r="N825" s="16"/>
      <c r="O825" s="104"/>
      <c r="Q825" s="281"/>
      <c r="R825" s="281"/>
      <c r="S825" s="281"/>
      <c r="T825" s="281"/>
      <c r="U825" s="281"/>
    </row>
    <row r="826" spans="1:21" x14ac:dyDescent="0.3">
      <c r="A826" s="347" t="str">
        <f t="shared" si="219"/>
        <v>Exclude</v>
      </c>
      <c r="D826" s="425" t="s">
        <v>1323</v>
      </c>
      <c r="E826" s="36" t="s">
        <v>167</v>
      </c>
      <c r="F826" s="10"/>
      <c r="G826" s="21"/>
      <c r="H826" s="12" t="s">
        <v>2</v>
      </c>
      <c r="I826" s="13">
        <v>200</v>
      </c>
      <c r="J826" s="16">
        <f t="shared" si="228"/>
        <v>0</v>
      </c>
      <c r="K826" s="304"/>
      <c r="L826" s="298"/>
      <c r="M826" s="298">
        <f t="shared" si="221"/>
        <v>0</v>
      </c>
      <c r="N826" s="16"/>
      <c r="O826" s="104"/>
      <c r="Q826" s="281"/>
      <c r="R826" s="281"/>
      <c r="S826" s="281"/>
      <c r="T826" s="281"/>
      <c r="U826" s="281"/>
    </row>
    <row r="827" spans="1:21" x14ac:dyDescent="0.3">
      <c r="A827" s="347" t="str">
        <f t="shared" si="219"/>
        <v>Exclude</v>
      </c>
      <c r="D827" s="427" t="s">
        <v>1323</v>
      </c>
      <c r="E827" s="199" t="s">
        <v>943</v>
      </c>
      <c r="F827" s="200"/>
      <c r="G827" s="201"/>
      <c r="H827" s="202" t="s">
        <v>0</v>
      </c>
      <c r="I827" s="203"/>
      <c r="J827" s="203"/>
      <c r="K827" s="304"/>
      <c r="L827" s="302"/>
      <c r="M827" s="302">
        <f>IF(K827="x","Included in Sub Bid",G827*I827)</f>
        <v>0</v>
      </c>
      <c r="N827" s="16"/>
      <c r="O827" s="104"/>
      <c r="Q827" s="281"/>
      <c r="R827" s="281"/>
      <c r="S827" s="281"/>
      <c r="T827" s="281"/>
      <c r="U827" s="281"/>
    </row>
    <row r="828" spans="1:21" x14ac:dyDescent="0.3">
      <c r="A828" s="347" t="str">
        <f t="shared" si="219"/>
        <v>Exclude</v>
      </c>
      <c r="D828" s="427" t="s">
        <v>1323</v>
      </c>
      <c r="E828" s="199" t="s">
        <v>944</v>
      </c>
      <c r="F828" s="200"/>
      <c r="G828" s="201"/>
      <c r="H828" s="202" t="s">
        <v>0</v>
      </c>
      <c r="I828" s="203"/>
      <c r="J828" s="203"/>
      <c r="K828" s="304"/>
      <c r="L828" s="302"/>
      <c r="M828" s="302">
        <f>IF(K828="x","Included in Sub Bid",G828*I828)</f>
        <v>0</v>
      </c>
      <c r="N828" s="16"/>
      <c r="O828" s="104"/>
      <c r="Q828" s="281"/>
      <c r="R828" s="281"/>
      <c r="S828" s="281"/>
      <c r="T828" s="281"/>
      <c r="U828" s="281"/>
    </row>
    <row r="829" spans="1:21" x14ac:dyDescent="0.3">
      <c r="A829" s="347" t="str">
        <f t="shared" si="219"/>
        <v>Exclude</v>
      </c>
      <c r="D829" s="425"/>
      <c r="E829" s="36"/>
      <c r="F829" s="10"/>
      <c r="G829" s="21"/>
      <c r="H829" s="12"/>
      <c r="I829" s="13"/>
      <c r="J829" s="16"/>
      <c r="K829" s="304"/>
      <c r="L829" s="298"/>
      <c r="M829" s="298"/>
      <c r="N829" s="16"/>
      <c r="O829" s="104"/>
      <c r="Q829" s="281"/>
      <c r="R829" s="281"/>
      <c r="S829" s="281"/>
      <c r="T829" s="281"/>
      <c r="U829" s="281"/>
    </row>
    <row r="830" spans="1:21" x14ac:dyDescent="0.3">
      <c r="A830" s="347" t="str">
        <f t="shared" si="219"/>
        <v>Exclude</v>
      </c>
      <c r="D830" s="425"/>
      <c r="E830" s="39"/>
      <c r="F830" s="10"/>
      <c r="G830" s="21"/>
      <c r="H830" s="12"/>
      <c r="I830" s="13"/>
      <c r="J830" s="16"/>
      <c r="K830" s="301"/>
      <c r="L830" s="298"/>
      <c r="M830" s="298"/>
      <c r="N830" s="16"/>
      <c r="O830" s="114"/>
      <c r="Q830" s="281"/>
      <c r="R830" s="281"/>
      <c r="S830" s="281"/>
      <c r="T830" s="281"/>
      <c r="U830" s="281"/>
    </row>
    <row r="831" spans="1:21" ht="15.75" customHeight="1" x14ac:dyDescent="0.35">
      <c r="A831" s="347" t="str">
        <f>IF(J831=0,"Exclude","x")</f>
        <v>Exclude</v>
      </c>
      <c r="D831" s="431"/>
      <c r="E831" s="68" t="s">
        <v>122</v>
      </c>
      <c r="F831" s="63"/>
      <c r="G831" s="64"/>
      <c r="H831" s="65"/>
      <c r="I831" s="66"/>
      <c r="J831" s="66">
        <f>SUBTOTAL(9,J832:J870)</f>
        <v>0</v>
      </c>
      <c r="K831" s="438">
        <f>IFERROR(J831/$G$6,0)</f>
        <v>0</v>
      </c>
      <c r="L831" s="311"/>
      <c r="M831" s="66"/>
      <c r="N831" s="66">
        <f>N832+N854</f>
        <v>0</v>
      </c>
      <c r="O831" s="317">
        <f>IFERROR(N831/$G$6,0)</f>
        <v>0</v>
      </c>
      <c r="Q831" s="281"/>
      <c r="R831" s="281"/>
      <c r="S831" s="281"/>
      <c r="T831" s="281"/>
      <c r="U831" s="281"/>
    </row>
    <row r="832" spans="1:21" ht="15.5" x14ac:dyDescent="0.3">
      <c r="A832" s="347" t="str">
        <f>IF(J832=0,"Exclude","x")</f>
        <v>Exclude</v>
      </c>
      <c r="D832" s="424" t="s">
        <v>811</v>
      </c>
      <c r="E832" s="69" t="s">
        <v>640</v>
      </c>
      <c r="F832" s="56"/>
      <c r="G832" s="57"/>
      <c r="H832" s="58"/>
      <c r="I832" s="59"/>
      <c r="J832" s="60">
        <f>SUBTOTAL(9,J833:J853)</f>
        <v>0</v>
      </c>
      <c r="K832" s="59">
        <f>IFERROR(J832/$G$6,0)</f>
        <v>0</v>
      </c>
      <c r="L832" s="309"/>
      <c r="M832" s="60"/>
      <c r="N832" s="59">
        <f>SUM(M833:M853)</f>
        <v>0</v>
      </c>
      <c r="O832" s="435">
        <f>IFERROR(N832/$G$6,0)</f>
        <v>0</v>
      </c>
      <c r="Q832" s="281"/>
      <c r="R832" s="281"/>
      <c r="S832" s="281"/>
      <c r="T832" s="281"/>
      <c r="U832" s="281"/>
    </row>
    <row r="833" spans="1:21" x14ac:dyDescent="0.3">
      <c r="A833" s="347" t="str">
        <f t="shared" ref="A833:A853" si="230">A832</f>
        <v>Exclude</v>
      </c>
      <c r="D833" s="426" t="s">
        <v>1324</v>
      </c>
      <c r="E833" s="39" t="s">
        <v>1203</v>
      </c>
      <c r="F833" s="24"/>
      <c r="G833" s="292"/>
      <c r="H833" s="25"/>
      <c r="I833" s="293"/>
      <c r="J833" s="293"/>
      <c r="K833" s="301"/>
      <c r="L833" s="300">
        <v>0</v>
      </c>
      <c r="M833" s="301">
        <f>L833</f>
        <v>0</v>
      </c>
      <c r="N833" s="293"/>
      <c r="O833" s="294"/>
      <c r="Q833" s="282"/>
      <c r="R833" s="281"/>
      <c r="S833" s="283"/>
      <c r="T833" s="283"/>
      <c r="U833" s="283"/>
    </row>
    <row r="834" spans="1:21" x14ac:dyDescent="0.3">
      <c r="A834" s="347" t="str">
        <f t="shared" si="230"/>
        <v>Exclude</v>
      </c>
      <c r="D834" s="425" t="s">
        <v>1324</v>
      </c>
      <c r="E834" s="36" t="s">
        <v>311</v>
      </c>
      <c r="F834" s="10" t="s">
        <v>563</v>
      </c>
      <c r="G834" s="21"/>
      <c r="H834" s="11" t="s">
        <v>2</v>
      </c>
      <c r="I834" s="13">
        <v>3500</v>
      </c>
      <c r="J834" s="16">
        <f>G834*I834</f>
        <v>0</v>
      </c>
      <c r="K834" s="304"/>
      <c r="L834" s="298"/>
      <c r="M834" s="298">
        <f t="shared" ref="M834:M849" si="231">IF(K834="x","Included in Sub Bid",J834)</f>
        <v>0</v>
      </c>
      <c r="N834" s="16"/>
      <c r="O834" s="104"/>
      <c r="Q834" s="281"/>
      <c r="R834" s="281"/>
      <c r="S834" s="281"/>
      <c r="T834" s="281"/>
      <c r="U834" s="281"/>
    </row>
    <row r="835" spans="1:21" x14ac:dyDescent="0.3">
      <c r="A835" s="347" t="str">
        <f t="shared" si="230"/>
        <v>Exclude</v>
      </c>
      <c r="D835" s="425" t="s">
        <v>1324</v>
      </c>
      <c r="E835" s="36" t="s">
        <v>1166</v>
      </c>
      <c r="F835" s="10" t="s">
        <v>315</v>
      </c>
      <c r="G835" s="21"/>
      <c r="H835" s="11" t="s">
        <v>2</v>
      </c>
      <c r="I835" s="13">
        <v>4200</v>
      </c>
      <c r="J835" s="16">
        <f>(G835*I835)</f>
        <v>0</v>
      </c>
      <c r="K835" s="304"/>
      <c r="L835" s="298"/>
      <c r="M835" s="298">
        <f t="shared" si="231"/>
        <v>0</v>
      </c>
      <c r="N835" s="16"/>
      <c r="O835" s="104"/>
      <c r="Q835" s="281"/>
      <c r="R835" s="281"/>
      <c r="S835" s="281"/>
      <c r="T835" s="281"/>
      <c r="U835" s="281"/>
    </row>
    <row r="836" spans="1:21" x14ac:dyDescent="0.3">
      <c r="A836" s="347" t="str">
        <f t="shared" si="230"/>
        <v>Exclude</v>
      </c>
      <c r="D836" s="425" t="s">
        <v>1324</v>
      </c>
      <c r="E836" s="36" t="s">
        <v>495</v>
      </c>
      <c r="F836" s="10" t="s">
        <v>315</v>
      </c>
      <c r="G836" s="21"/>
      <c r="H836" s="11" t="s">
        <v>2</v>
      </c>
      <c r="I836" s="13">
        <v>6500</v>
      </c>
      <c r="J836" s="16">
        <f>(G836*I836)</f>
        <v>0</v>
      </c>
      <c r="K836" s="304"/>
      <c r="L836" s="298"/>
      <c r="M836" s="298">
        <f t="shared" si="231"/>
        <v>0</v>
      </c>
      <c r="N836" s="16"/>
      <c r="O836" s="104"/>
      <c r="Q836" s="281"/>
      <c r="R836" s="281"/>
      <c r="S836" s="281"/>
      <c r="T836" s="281"/>
      <c r="U836" s="281"/>
    </row>
    <row r="837" spans="1:21" x14ac:dyDescent="0.3">
      <c r="A837" s="347" t="str">
        <f t="shared" si="230"/>
        <v>Exclude</v>
      </c>
      <c r="D837" s="425" t="s">
        <v>1324</v>
      </c>
      <c r="E837" s="36" t="s">
        <v>387</v>
      </c>
      <c r="F837" s="10" t="s">
        <v>315</v>
      </c>
      <c r="G837" s="21"/>
      <c r="H837" s="11" t="s">
        <v>2</v>
      </c>
      <c r="I837" s="13">
        <v>1250</v>
      </c>
      <c r="J837" s="16">
        <f>(G837*I837)</f>
        <v>0</v>
      </c>
      <c r="K837" s="304"/>
      <c r="L837" s="298"/>
      <c r="M837" s="298">
        <f t="shared" si="231"/>
        <v>0</v>
      </c>
      <c r="N837" s="16"/>
      <c r="O837" s="104"/>
      <c r="Q837" s="281"/>
      <c r="R837" s="281"/>
      <c r="S837" s="281"/>
      <c r="T837" s="281"/>
      <c r="U837" s="281"/>
    </row>
    <row r="838" spans="1:21" x14ac:dyDescent="0.3">
      <c r="A838" s="347" t="str">
        <f t="shared" si="230"/>
        <v>Exclude</v>
      </c>
      <c r="D838" s="425" t="s">
        <v>1324</v>
      </c>
      <c r="E838" s="36" t="s">
        <v>312</v>
      </c>
      <c r="F838" s="11"/>
      <c r="G838" s="21"/>
      <c r="H838" s="11" t="s">
        <v>16</v>
      </c>
      <c r="I838" s="13">
        <v>185</v>
      </c>
      <c r="J838" s="16">
        <f>(G838*I838)</f>
        <v>0</v>
      </c>
      <c r="K838" s="304"/>
      <c r="L838" s="298"/>
      <c r="M838" s="298">
        <f t="shared" si="231"/>
        <v>0</v>
      </c>
      <c r="N838" s="16"/>
      <c r="O838" s="104"/>
      <c r="Q838" s="281"/>
      <c r="R838" s="281"/>
      <c r="S838" s="281"/>
      <c r="T838" s="281"/>
      <c r="U838" s="281"/>
    </row>
    <row r="839" spans="1:21" x14ac:dyDescent="0.3">
      <c r="A839" s="347" t="str">
        <f t="shared" si="230"/>
        <v>Exclude</v>
      </c>
      <c r="D839" s="425" t="s">
        <v>1324</v>
      </c>
      <c r="E839" s="36" t="s">
        <v>314</v>
      </c>
      <c r="F839" s="11"/>
      <c r="G839" s="21"/>
      <c r="H839" s="11" t="s">
        <v>2</v>
      </c>
      <c r="I839" s="13">
        <v>900</v>
      </c>
      <c r="J839" s="16">
        <f>(G839*I839)</f>
        <v>0</v>
      </c>
      <c r="K839" s="304"/>
      <c r="L839" s="298"/>
      <c r="M839" s="298">
        <f t="shared" si="231"/>
        <v>0</v>
      </c>
      <c r="N839" s="16"/>
      <c r="O839" s="104"/>
      <c r="Q839" s="281"/>
      <c r="R839" s="281"/>
      <c r="S839" s="281"/>
      <c r="T839" s="281"/>
      <c r="U839" s="281"/>
    </row>
    <row r="840" spans="1:21" x14ac:dyDescent="0.3">
      <c r="A840" s="347" t="str">
        <f t="shared" si="230"/>
        <v>Exclude</v>
      </c>
      <c r="D840" s="425" t="s">
        <v>1324</v>
      </c>
      <c r="E840" s="36" t="s">
        <v>313</v>
      </c>
      <c r="F840" s="11"/>
      <c r="G840" s="21"/>
      <c r="H840" s="11" t="s">
        <v>2</v>
      </c>
      <c r="I840" s="13">
        <v>1800</v>
      </c>
      <c r="J840" s="16">
        <f t="shared" ref="J840:J842" si="232">(G840*I840)</f>
        <v>0</v>
      </c>
      <c r="K840" s="304"/>
      <c r="L840" s="298"/>
      <c r="M840" s="298">
        <f t="shared" si="231"/>
        <v>0</v>
      </c>
      <c r="N840" s="16"/>
      <c r="O840" s="104"/>
      <c r="Q840" s="281"/>
      <c r="R840" s="281"/>
      <c r="S840" s="281"/>
      <c r="T840" s="281"/>
      <c r="U840" s="281"/>
    </row>
    <row r="841" spans="1:21" x14ac:dyDescent="0.3">
      <c r="A841" s="347" t="str">
        <f t="shared" si="230"/>
        <v>Exclude</v>
      </c>
      <c r="D841" s="425" t="s">
        <v>1324</v>
      </c>
      <c r="E841" s="36" t="s">
        <v>282</v>
      </c>
      <c r="F841" s="11"/>
      <c r="G841" s="21"/>
      <c r="H841" s="11" t="s">
        <v>2</v>
      </c>
      <c r="I841" s="13">
        <v>250</v>
      </c>
      <c r="J841" s="16">
        <f t="shared" si="232"/>
        <v>0</v>
      </c>
      <c r="K841" s="304"/>
      <c r="L841" s="298"/>
      <c r="M841" s="298">
        <f t="shared" si="231"/>
        <v>0</v>
      </c>
      <c r="N841" s="16"/>
      <c r="O841" s="104"/>
      <c r="Q841" s="281"/>
      <c r="R841" s="281"/>
      <c r="S841" s="281"/>
      <c r="T841" s="281"/>
      <c r="U841" s="281"/>
    </row>
    <row r="842" spans="1:21" x14ac:dyDescent="0.3">
      <c r="A842" s="347" t="str">
        <f t="shared" si="230"/>
        <v>Exclude</v>
      </c>
      <c r="D842" s="425" t="s">
        <v>1324</v>
      </c>
      <c r="E842" s="36" t="s">
        <v>1167</v>
      </c>
      <c r="F842" s="10"/>
      <c r="G842" s="21"/>
      <c r="H842" s="11" t="s">
        <v>2</v>
      </c>
      <c r="I842" s="13"/>
      <c r="J842" s="16">
        <f t="shared" si="232"/>
        <v>0</v>
      </c>
      <c r="K842" s="304"/>
      <c r="L842" s="298"/>
      <c r="M842" s="298">
        <f t="shared" si="231"/>
        <v>0</v>
      </c>
      <c r="N842" s="16"/>
      <c r="O842" s="104"/>
      <c r="Q842" s="281"/>
      <c r="R842" s="281"/>
      <c r="S842" s="281"/>
      <c r="T842" s="281"/>
      <c r="U842" s="281"/>
    </row>
    <row r="843" spans="1:21" x14ac:dyDescent="0.3">
      <c r="A843" s="347" t="str">
        <f t="shared" si="230"/>
        <v>Exclude</v>
      </c>
      <c r="D843" s="425" t="s">
        <v>1324</v>
      </c>
      <c r="E843" s="36" t="s">
        <v>1168</v>
      </c>
      <c r="F843" s="10"/>
      <c r="G843" s="21"/>
      <c r="H843" s="11" t="s">
        <v>2</v>
      </c>
      <c r="I843" s="13"/>
      <c r="J843" s="16">
        <f t="shared" ref="J843:J844" si="233">(G843*I843)</f>
        <v>0</v>
      </c>
      <c r="K843" s="304"/>
      <c r="L843" s="298"/>
      <c r="M843" s="298">
        <f t="shared" si="231"/>
        <v>0</v>
      </c>
      <c r="N843" s="16"/>
      <c r="O843" s="104"/>
      <c r="Q843" s="281"/>
      <c r="R843" s="281"/>
      <c r="S843" s="281"/>
      <c r="T843" s="281"/>
      <c r="U843" s="281"/>
    </row>
    <row r="844" spans="1:21" x14ac:dyDescent="0.3">
      <c r="A844" s="347" t="str">
        <f t="shared" si="230"/>
        <v>Exclude</v>
      </c>
      <c r="D844" s="425" t="s">
        <v>1324</v>
      </c>
      <c r="E844" s="36" t="s">
        <v>1169</v>
      </c>
      <c r="F844" s="10"/>
      <c r="G844" s="21"/>
      <c r="H844" s="11" t="s">
        <v>2</v>
      </c>
      <c r="I844" s="13"/>
      <c r="J844" s="16">
        <f t="shared" si="233"/>
        <v>0</v>
      </c>
      <c r="K844" s="304"/>
      <c r="L844" s="298"/>
      <c r="M844" s="298">
        <f t="shared" si="231"/>
        <v>0</v>
      </c>
      <c r="N844" s="16"/>
      <c r="O844" s="104"/>
      <c r="Q844" s="281"/>
      <c r="R844" s="281"/>
      <c r="S844" s="281"/>
      <c r="T844" s="281"/>
      <c r="U844" s="281"/>
    </row>
    <row r="845" spans="1:21" x14ac:dyDescent="0.3">
      <c r="A845" s="347" t="str">
        <f t="shared" si="230"/>
        <v>Exclude</v>
      </c>
      <c r="D845" s="425" t="s">
        <v>1324</v>
      </c>
      <c r="E845" s="36" t="s">
        <v>545</v>
      </c>
      <c r="F845" s="10"/>
      <c r="G845" s="21"/>
      <c r="H845" s="11" t="s">
        <v>2</v>
      </c>
      <c r="I845" s="13"/>
      <c r="J845" s="16">
        <f>(G845*I845)</f>
        <v>0</v>
      </c>
      <c r="K845" s="304"/>
      <c r="L845" s="298"/>
      <c r="M845" s="298">
        <f t="shared" si="231"/>
        <v>0</v>
      </c>
      <c r="N845" s="16"/>
      <c r="O845" s="104"/>
      <c r="Q845" s="281"/>
      <c r="R845" s="281"/>
      <c r="S845" s="281"/>
      <c r="T845" s="281"/>
      <c r="U845" s="281"/>
    </row>
    <row r="846" spans="1:21" x14ac:dyDescent="0.3">
      <c r="A846" s="347" t="str">
        <f t="shared" si="230"/>
        <v>Exclude</v>
      </c>
      <c r="D846" s="425" t="s">
        <v>1324</v>
      </c>
      <c r="E846" s="36" t="s">
        <v>1170</v>
      </c>
      <c r="F846" s="10"/>
      <c r="G846" s="21"/>
      <c r="H846" s="11" t="s">
        <v>2</v>
      </c>
      <c r="I846" s="13">
        <v>1500</v>
      </c>
      <c r="J846" s="16">
        <f t="shared" ref="J846" si="234">(G846*I846)</f>
        <v>0</v>
      </c>
      <c r="K846" s="304"/>
      <c r="L846" s="298"/>
      <c r="M846" s="298">
        <f t="shared" si="231"/>
        <v>0</v>
      </c>
      <c r="N846" s="16"/>
      <c r="O846" s="104"/>
      <c r="Q846" s="281"/>
      <c r="R846" s="281"/>
      <c r="S846" s="281"/>
      <c r="T846" s="281"/>
      <c r="U846" s="281"/>
    </row>
    <row r="847" spans="1:21" x14ac:dyDescent="0.3">
      <c r="A847" s="347" t="str">
        <f t="shared" si="230"/>
        <v>Exclude</v>
      </c>
      <c r="D847" s="425" t="s">
        <v>1324</v>
      </c>
      <c r="E847" s="36" t="s">
        <v>1221</v>
      </c>
      <c r="F847" s="10"/>
      <c r="G847" s="21"/>
      <c r="H847" s="11" t="s">
        <v>2</v>
      </c>
      <c r="I847" s="13">
        <v>1500</v>
      </c>
      <c r="J847" s="16">
        <f t="shared" ref="J847:J849" si="235">(G847*I847)</f>
        <v>0</v>
      </c>
      <c r="K847" s="304"/>
      <c r="L847" s="298"/>
      <c r="M847" s="298">
        <f t="shared" si="231"/>
        <v>0</v>
      </c>
      <c r="N847" s="16"/>
      <c r="O847" s="104"/>
      <c r="Q847" s="281"/>
      <c r="R847" s="281"/>
      <c r="S847" s="281"/>
      <c r="T847" s="281"/>
      <c r="U847" s="281"/>
    </row>
    <row r="848" spans="1:21" x14ac:dyDescent="0.3">
      <c r="A848" s="347" t="str">
        <f t="shared" si="230"/>
        <v>Exclude</v>
      </c>
      <c r="D848" s="425" t="s">
        <v>1324</v>
      </c>
      <c r="E848" s="36" t="s">
        <v>1171</v>
      </c>
      <c r="F848" s="10"/>
      <c r="G848" s="21"/>
      <c r="H848" s="11" t="s">
        <v>2</v>
      </c>
      <c r="I848" s="13">
        <v>650</v>
      </c>
      <c r="J848" s="16">
        <f t="shared" si="235"/>
        <v>0</v>
      </c>
      <c r="K848" s="304"/>
      <c r="L848" s="298"/>
      <c r="M848" s="298">
        <f t="shared" si="231"/>
        <v>0</v>
      </c>
      <c r="N848" s="16"/>
      <c r="O848" s="104"/>
      <c r="Q848" s="281"/>
      <c r="R848" s="281"/>
      <c r="S848" s="281"/>
      <c r="T848" s="281"/>
      <c r="U848" s="281"/>
    </row>
    <row r="849" spans="1:21" x14ac:dyDescent="0.3">
      <c r="A849" s="347" t="str">
        <f t="shared" si="230"/>
        <v>Exclude</v>
      </c>
      <c r="D849" s="425" t="s">
        <v>1324</v>
      </c>
      <c r="E849" s="36" t="s">
        <v>1172</v>
      </c>
      <c r="F849" s="10"/>
      <c r="G849" s="21"/>
      <c r="H849" s="11" t="s">
        <v>2</v>
      </c>
      <c r="I849" s="13">
        <v>700</v>
      </c>
      <c r="J849" s="16">
        <f t="shared" si="235"/>
        <v>0</v>
      </c>
      <c r="K849" s="304"/>
      <c r="L849" s="298"/>
      <c r="M849" s="298">
        <f t="shared" si="231"/>
        <v>0</v>
      </c>
      <c r="N849" s="16"/>
      <c r="O849" s="104"/>
      <c r="Q849" s="281"/>
      <c r="R849" s="281"/>
      <c r="S849" s="281"/>
      <c r="T849" s="281"/>
      <c r="U849" s="281"/>
    </row>
    <row r="850" spans="1:21" x14ac:dyDescent="0.3">
      <c r="A850" s="347" t="str">
        <f t="shared" si="230"/>
        <v>Exclude</v>
      </c>
      <c r="D850" s="427" t="s">
        <v>1324</v>
      </c>
      <c r="E850" s="199" t="s">
        <v>943</v>
      </c>
      <c r="F850" s="200"/>
      <c r="G850" s="201"/>
      <c r="H850" s="202" t="s">
        <v>0</v>
      </c>
      <c r="I850" s="203"/>
      <c r="J850" s="203"/>
      <c r="K850" s="304"/>
      <c r="L850" s="302"/>
      <c r="M850" s="302">
        <f>IF(K850="x","Included in Sub Bid",G850*I850)</f>
        <v>0</v>
      </c>
      <c r="N850" s="16"/>
      <c r="O850" s="104"/>
      <c r="Q850" s="281"/>
      <c r="R850" s="281"/>
      <c r="S850" s="281"/>
      <c r="T850" s="281"/>
      <c r="U850" s="281"/>
    </row>
    <row r="851" spans="1:21" x14ac:dyDescent="0.3">
      <c r="A851" s="347" t="str">
        <f t="shared" si="230"/>
        <v>Exclude</v>
      </c>
      <c r="D851" s="427" t="s">
        <v>1324</v>
      </c>
      <c r="E851" s="199" t="s">
        <v>944</v>
      </c>
      <c r="F851" s="200"/>
      <c r="G851" s="201"/>
      <c r="H851" s="202" t="s">
        <v>0</v>
      </c>
      <c r="I851" s="203"/>
      <c r="J851" s="203"/>
      <c r="K851" s="304"/>
      <c r="L851" s="302"/>
      <c r="M851" s="302">
        <f>IF(K851="x","Included in Sub Bid",G851*I851)</f>
        <v>0</v>
      </c>
      <c r="N851" s="16"/>
      <c r="O851" s="104"/>
      <c r="Q851" s="281"/>
      <c r="R851" s="281"/>
      <c r="S851" s="281"/>
      <c r="T851" s="281"/>
      <c r="U851" s="281"/>
    </row>
    <row r="852" spans="1:21" x14ac:dyDescent="0.3">
      <c r="A852" s="347" t="str">
        <f t="shared" si="230"/>
        <v>Exclude</v>
      </c>
      <c r="D852" s="425"/>
      <c r="E852" s="11"/>
      <c r="F852" s="10"/>
      <c r="G852" s="11"/>
      <c r="H852" s="12"/>
      <c r="I852" s="11"/>
      <c r="J852" s="11"/>
      <c r="K852" s="304"/>
      <c r="L852" s="308"/>
      <c r="M852" s="298"/>
      <c r="N852" s="11"/>
      <c r="O852" s="104"/>
      <c r="Q852" s="281"/>
      <c r="R852" s="281"/>
      <c r="S852" s="281"/>
      <c r="T852" s="281"/>
      <c r="U852" s="281"/>
    </row>
    <row r="853" spans="1:21" x14ac:dyDescent="0.3">
      <c r="A853" s="347" t="str">
        <f t="shared" si="230"/>
        <v>Exclude</v>
      </c>
      <c r="D853" s="425"/>
      <c r="E853" s="39"/>
      <c r="F853" s="10"/>
      <c r="G853" s="21"/>
      <c r="H853" s="12"/>
      <c r="I853" s="13"/>
      <c r="J853" s="16"/>
      <c r="K853" s="301"/>
      <c r="L853" s="298"/>
      <c r="M853" s="298"/>
      <c r="N853" s="16"/>
      <c r="O853" s="114"/>
      <c r="Q853" s="281"/>
      <c r="R853" s="281"/>
      <c r="S853" s="281"/>
      <c r="T853" s="281"/>
      <c r="U853" s="281"/>
    </row>
    <row r="854" spans="1:21" ht="15.5" x14ac:dyDescent="0.3">
      <c r="A854" s="347" t="str">
        <f>IF(J854=0,"Exclude","x")</f>
        <v>Exclude</v>
      </c>
      <c r="D854" s="424" t="s">
        <v>811</v>
      </c>
      <c r="E854" s="69" t="s">
        <v>674</v>
      </c>
      <c r="F854" s="56"/>
      <c r="G854" s="57"/>
      <c r="H854" s="58"/>
      <c r="I854" s="59"/>
      <c r="J854" s="60">
        <f>SUBTOTAL(9,J855:J870)</f>
        <v>0</v>
      </c>
      <c r="K854" s="59">
        <f>IFERROR(J854/$G$6,0)</f>
        <v>0</v>
      </c>
      <c r="L854" s="309"/>
      <c r="M854" s="60"/>
      <c r="N854" s="59">
        <f>SUM(M855:M870)</f>
        <v>0</v>
      </c>
      <c r="O854" s="435">
        <f>IFERROR(N854/$G$6,0)</f>
        <v>0</v>
      </c>
      <c r="Q854" s="281"/>
      <c r="R854" s="281"/>
      <c r="S854" s="281"/>
      <c r="T854" s="281"/>
      <c r="U854" s="281"/>
    </row>
    <row r="855" spans="1:21" x14ac:dyDescent="0.3">
      <c r="A855" s="347" t="str">
        <f t="shared" ref="A855:A870" si="236">A854</f>
        <v>Exclude</v>
      </c>
      <c r="D855" s="426" t="s">
        <v>1325</v>
      </c>
      <c r="E855" s="39" t="s">
        <v>1203</v>
      </c>
      <c r="F855" s="24"/>
      <c r="G855" s="292"/>
      <c r="H855" s="25"/>
      <c r="I855" s="293"/>
      <c r="J855" s="293"/>
      <c r="K855" s="301"/>
      <c r="L855" s="300">
        <v>0</v>
      </c>
      <c r="M855" s="301">
        <f>L855</f>
        <v>0</v>
      </c>
      <c r="N855" s="293"/>
      <c r="O855" s="294"/>
      <c r="Q855" s="282"/>
      <c r="R855" s="281"/>
      <c r="S855" s="283"/>
      <c r="T855" s="283"/>
      <c r="U855" s="283"/>
    </row>
    <row r="856" spans="1:21" x14ac:dyDescent="0.3">
      <c r="A856" s="347" t="str">
        <f t="shared" si="236"/>
        <v>Exclude</v>
      </c>
      <c r="D856" s="425" t="s">
        <v>1325</v>
      </c>
      <c r="E856" s="36" t="s">
        <v>675</v>
      </c>
      <c r="F856" s="10"/>
      <c r="G856" s="21"/>
      <c r="H856" s="11" t="s">
        <v>0</v>
      </c>
      <c r="I856" s="13"/>
      <c r="J856" s="16">
        <f>G856*I856</f>
        <v>0</v>
      </c>
      <c r="K856" s="304"/>
      <c r="L856" s="298"/>
      <c r="M856" s="298">
        <f t="shared" ref="M856:M866" si="237">IF(K856="x","Included in Sub Bid",J856)</f>
        <v>0</v>
      </c>
      <c r="N856" s="16"/>
      <c r="O856" s="104"/>
      <c r="Q856" s="281"/>
      <c r="R856" s="281"/>
      <c r="S856" s="281"/>
      <c r="T856" s="281"/>
      <c r="U856" s="281"/>
    </row>
    <row r="857" spans="1:21" x14ac:dyDescent="0.3">
      <c r="A857" s="347" t="str">
        <f t="shared" si="236"/>
        <v>Exclude</v>
      </c>
      <c r="D857" s="425" t="s">
        <v>1325</v>
      </c>
      <c r="E857" s="36" t="s">
        <v>549</v>
      </c>
      <c r="F857" s="10"/>
      <c r="G857" s="21"/>
      <c r="H857" s="12" t="s">
        <v>1</v>
      </c>
      <c r="I857" s="13"/>
      <c r="J857" s="16">
        <f>I857*G857</f>
        <v>0</v>
      </c>
      <c r="K857" s="304"/>
      <c r="L857" s="298"/>
      <c r="M857" s="298">
        <f t="shared" si="237"/>
        <v>0</v>
      </c>
      <c r="N857" s="16"/>
      <c r="O857" s="104"/>
      <c r="Q857" s="281"/>
      <c r="R857" s="281"/>
      <c r="S857" s="281"/>
      <c r="T857" s="281"/>
      <c r="U857" s="281"/>
    </row>
    <row r="858" spans="1:21" x14ac:dyDescent="0.3">
      <c r="A858" s="347" t="str">
        <f t="shared" si="236"/>
        <v>Exclude</v>
      </c>
      <c r="D858" s="425" t="s">
        <v>1325</v>
      </c>
      <c r="E858" s="36" t="s">
        <v>551</v>
      </c>
      <c r="F858" s="10"/>
      <c r="G858" s="21"/>
      <c r="H858" s="12" t="s">
        <v>2</v>
      </c>
      <c r="I858" s="13"/>
      <c r="J858" s="16">
        <f>I858*G858</f>
        <v>0</v>
      </c>
      <c r="K858" s="304"/>
      <c r="L858" s="298"/>
      <c r="M858" s="298">
        <f t="shared" si="237"/>
        <v>0</v>
      </c>
      <c r="N858" s="16"/>
      <c r="O858" s="104"/>
      <c r="Q858" s="281"/>
      <c r="R858" s="281"/>
      <c r="S858" s="281"/>
      <c r="T858" s="281"/>
      <c r="U858" s="281"/>
    </row>
    <row r="859" spans="1:21" x14ac:dyDescent="0.3">
      <c r="A859" s="347" t="str">
        <f t="shared" si="236"/>
        <v>Exclude</v>
      </c>
      <c r="D859" s="425" t="s">
        <v>1325</v>
      </c>
      <c r="E859" s="36" t="s">
        <v>525</v>
      </c>
      <c r="F859" s="10"/>
      <c r="G859" s="21"/>
      <c r="H859" s="12" t="s">
        <v>1</v>
      </c>
      <c r="I859" s="13"/>
      <c r="J859" s="16">
        <f t="shared" ref="J859:J866" si="238">G859*I859</f>
        <v>0</v>
      </c>
      <c r="K859" s="304"/>
      <c r="L859" s="298"/>
      <c r="M859" s="298">
        <f t="shared" si="237"/>
        <v>0</v>
      </c>
      <c r="N859" s="16"/>
      <c r="O859" s="104"/>
      <c r="Q859" s="281"/>
      <c r="R859" s="281"/>
      <c r="S859" s="281"/>
      <c r="T859" s="281"/>
      <c r="U859" s="281"/>
    </row>
    <row r="860" spans="1:21" x14ac:dyDescent="0.3">
      <c r="A860" s="347" t="str">
        <f t="shared" si="236"/>
        <v>Exclude</v>
      </c>
      <c r="D860" s="425" t="s">
        <v>1325</v>
      </c>
      <c r="E860" s="36" t="s">
        <v>550</v>
      </c>
      <c r="F860" s="10"/>
      <c r="G860" s="21"/>
      <c r="H860" s="12" t="s">
        <v>1</v>
      </c>
      <c r="I860" s="13"/>
      <c r="J860" s="16">
        <f t="shared" si="238"/>
        <v>0</v>
      </c>
      <c r="K860" s="304"/>
      <c r="L860" s="298"/>
      <c r="M860" s="298">
        <f t="shared" si="237"/>
        <v>0</v>
      </c>
      <c r="N860" s="16"/>
      <c r="O860" s="104"/>
      <c r="Q860" s="281"/>
      <c r="R860" s="281"/>
      <c r="S860" s="281"/>
      <c r="T860" s="281"/>
      <c r="U860" s="281"/>
    </row>
    <row r="861" spans="1:21" x14ac:dyDescent="0.3">
      <c r="A861" s="347" t="str">
        <f t="shared" si="236"/>
        <v>Exclude</v>
      </c>
      <c r="D861" s="425" t="s">
        <v>1325</v>
      </c>
      <c r="E861" s="36" t="s">
        <v>524</v>
      </c>
      <c r="F861" s="10"/>
      <c r="G861" s="21"/>
      <c r="H861" s="12" t="s">
        <v>1</v>
      </c>
      <c r="I861" s="13"/>
      <c r="J861" s="16">
        <f t="shared" si="238"/>
        <v>0</v>
      </c>
      <c r="K861" s="304"/>
      <c r="L861" s="298"/>
      <c r="M861" s="298">
        <f t="shared" si="237"/>
        <v>0</v>
      </c>
      <c r="N861" s="16"/>
      <c r="O861" s="104"/>
      <c r="Q861" s="281"/>
      <c r="R861" s="281"/>
      <c r="S861" s="281"/>
      <c r="T861" s="281"/>
      <c r="U861" s="281"/>
    </row>
    <row r="862" spans="1:21" x14ac:dyDescent="0.3">
      <c r="A862" s="347" t="str">
        <f t="shared" si="236"/>
        <v>Exclude</v>
      </c>
      <c r="D862" s="425" t="s">
        <v>1325</v>
      </c>
      <c r="E862" s="36" t="s">
        <v>751</v>
      </c>
      <c r="F862" s="10"/>
      <c r="G862" s="21"/>
      <c r="H862" s="12" t="s">
        <v>2</v>
      </c>
      <c r="I862" s="13"/>
      <c r="J862" s="16">
        <f t="shared" si="238"/>
        <v>0</v>
      </c>
      <c r="K862" s="304"/>
      <c r="L862" s="298"/>
      <c r="M862" s="298">
        <f t="shared" si="237"/>
        <v>0</v>
      </c>
      <c r="N862" s="16"/>
      <c r="O862" s="104"/>
      <c r="Q862" s="281"/>
      <c r="R862" s="281"/>
      <c r="S862" s="281"/>
      <c r="T862" s="281"/>
      <c r="U862" s="281"/>
    </row>
    <row r="863" spans="1:21" x14ac:dyDescent="0.3">
      <c r="A863" s="347" t="str">
        <f t="shared" si="236"/>
        <v>Exclude</v>
      </c>
      <c r="D863" s="425" t="s">
        <v>1325</v>
      </c>
      <c r="E863" s="36" t="s">
        <v>752</v>
      </c>
      <c r="F863" s="10"/>
      <c r="G863" s="21"/>
      <c r="H863" s="12" t="s">
        <v>2</v>
      </c>
      <c r="I863" s="13"/>
      <c r="J863" s="16">
        <f t="shared" si="238"/>
        <v>0</v>
      </c>
      <c r="K863" s="304"/>
      <c r="L863" s="298"/>
      <c r="M863" s="298">
        <f t="shared" si="237"/>
        <v>0</v>
      </c>
      <c r="N863" s="16"/>
      <c r="O863" s="104"/>
      <c r="Q863" s="281"/>
      <c r="R863" s="281"/>
      <c r="S863" s="281"/>
      <c r="T863" s="281"/>
      <c r="U863" s="281"/>
    </row>
    <row r="864" spans="1:21" x14ac:dyDescent="0.3">
      <c r="A864" s="347" t="str">
        <f t="shared" si="236"/>
        <v>Exclude</v>
      </c>
      <c r="D864" s="425" t="s">
        <v>1325</v>
      </c>
      <c r="E864" s="36" t="s">
        <v>483</v>
      </c>
      <c r="F864" s="10"/>
      <c r="G864" s="21"/>
      <c r="H864" s="12" t="s">
        <v>2</v>
      </c>
      <c r="I864" s="13"/>
      <c r="J864" s="16">
        <f t="shared" si="238"/>
        <v>0</v>
      </c>
      <c r="K864" s="304"/>
      <c r="L864" s="298"/>
      <c r="M864" s="298">
        <f t="shared" si="237"/>
        <v>0</v>
      </c>
      <c r="N864" s="16"/>
      <c r="O864" s="104"/>
      <c r="Q864" s="281"/>
      <c r="R864" s="281"/>
      <c r="S864" s="281"/>
      <c r="T864" s="281"/>
      <c r="U864" s="281"/>
    </row>
    <row r="865" spans="1:21" x14ac:dyDescent="0.3">
      <c r="A865" s="347" t="str">
        <f t="shared" si="236"/>
        <v>Exclude</v>
      </c>
      <c r="D865" s="425" t="s">
        <v>1325</v>
      </c>
      <c r="E865" s="36" t="s">
        <v>553</v>
      </c>
      <c r="F865" s="10"/>
      <c r="G865" s="21"/>
      <c r="H865" s="12" t="s">
        <v>2</v>
      </c>
      <c r="I865" s="13"/>
      <c r="J865" s="16">
        <f t="shared" si="238"/>
        <v>0</v>
      </c>
      <c r="K865" s="304"/>
      <c r="L865" s="298"/>
      <c r="M865" s="298">
        <f t="shared" si="237"/>
        <v>0</v>
      </c>
      <c r="N865" s="16"/>
      <c r="O865" s="104"/>
      <c r="Q865" s="281"/>
      <c r="R865" s="281"/>
      <c r="S865" s="281"/>
      <c r="T865" s="281"/>
      <c r="U865" s="281"/>
    </row>
    <row r="866" spans="1:21" x14ac:dyDescent="0.3">
      <c r="A866" s="347" t="str">
        <f t="shared" si="236"/>
        <v>Exclude</v>
      </c>
      <c r="D866" s="425" t="s">
        <v>1325</v>
      </c>
      <c r="E866" s="36" t="s">
        <v>552</v>
      </c>
      <c r="F866" s="10"/>
      <c r="G866" s="21"/>
      <c r="H866" s="12" t="s">
        <v>2</v>
      </c>
      <c r="I866" s="13"/>
      <c r="J866" s="16">
        <f t="shared" si="238"/>
        <v>0</v>
      </c>
      <c r="K866" s="304"/>
      <c r="L866" s="298"/>
      <c r="M866" s="298">
        <f t="shared" si="237"/>
        <v>0</v>
      </c>
      <c r="N866" s="16"/>
      <c r="O866" s="104"/>
      <c r="Q866" s="281"/>
      <c r="R866" s="281"/>
      <c r="S866" s="281"/>
      <c r="T866" s="281"/>
      <c r="U866" s="281"/>
    </row>
    <row r="867" spans="1:21" x14ac:dyDescent="0.3">
      <c r="A867" s="347" t="str">
        <f t="shared" si="236"/>
        <v>Exclude</v>
      </c>
      <c r="D867" s="427" t="s">
        <v>1325</v>
      </c>
      <c r="E867" s="199" t="s">
        <v>943</v>
      </c>
      <c r="F867" s="200"/>
      <c r="G867" s="201"/>
      <c r="H867" s="202" t="s">
        <v>0</v>
      </c>
      <c r="I867" s="203"/>
      <c r="J867" s="203"/>
      <c r="K867" s="304"/>
      <c r="L867" s="302"/>
      <c r="M867" s="302">
        <f>IF(K867="x","Included in Sub Bid",G867*I867)</f>
        <v>0</v>
      </c>
      <c r="N867" s="16"/>
      <c r="O867" s="104"/>
      <c r="Q867" s="281"/>
      <c r="R867" s="281"/>
      <c r="S867" s="281"/>
      <c r="T867" s="281"/>
      <c r="U867" s="281"/>
    </row>
    <row r="868" spans="1:21" x14ac:dyDescent="0.3">
      <c r="A868" s="347" t="str">
        <f t="shared" si="236"/>
        <v>Exclude</v>
      </c>
      <c r="D868" s="427" t="s">
        <v>1325</v>
      </c>
      <c r="E868" s="199" t="s">
        <v>944</v>
      </c>
      <c r="F868" s="200"/>
      <c r="G868" s="201"/>
      <c r="H868" s="202" t="s">
        <v>0</v>
      </c>
      <c r="I868" s="203"/>
      <c r="J868" s="203"/>
      <c r="K868" s="304"/>
      <c r="L868" s="302"/>
      <c r="M868" s="302">
        <f>IF(K868="x","Included in Sub Bid",G868*I868)</f>
        <v>0</v>
      </c>
      <c r="N868" s="16"/>
      <c r="O868" s="104"/>
      <c r="Q868" s="281"/>
      <c r="R868" s="281"/>
      <c r="S868" s="281"/>
      <c r="T868" s="281"/>
      <c r="U868" s="281"/>
    </row>
    <row r="869" spans="1:21" x14ac:dyDescent="0.3">
      <c r="A869" s="347" t="str">
        <f t="shared" si="236"/>
        <v>Exclude</v>
      </c>
      <c r="D869" s="425"/>
      <c r="E869" s="36"/>
      <c r="F869" s="10"/>
      <c r="G869" s="21"/>
      <c r="H869" s="11"/>
      <c r="I869" s="13"/>
      <c r="J869" s="16"/>
      <c r="K869" s="304"/>
      <c r="L869" s="298"/>
      <c r="M869" s="298"/>
      <c r="N869" s="16"/>
      <c r="O869" s="104"/>
      <c r="Q869" s="281"/>
      <c r="R869" s="281"/>
      <c r="S869" s="281"/>
      <c r="T869" s="281"/>
      <c r="U869" s="281"/>
    </row>
    <row r="870" spans="1:21" x14ac:dyDescent="0.3">
      <c r="A870" s="347" t="str">
        <f t="shared" si="236"/>
        <v>Exclude</v>
      </c>
      <c r="D870" s="425"/>
      <c r="E870" s="36"/>
      <c r="F870" s="10"/>
      <c r="G870" s="21"/>
      <c r="H870" s="11"/>
      <c r="I870" s="13"/>
      <c r="J870" s="16"/>
      <c r="K870" s="301"/>
      <c r="L870" s="298"/>
      <c r="M870" s="298"/>
      <c r="N870" s="16"/>
      <c r="O870" s="104"/>
      <c r="Q870" s="281"/>
      <c r="R870" s="281"/>
      <c r="S870" s="281"/>
      <c r="T870" s="281"/>
      <c r="U870" s="281"/>
    </row>
    <row r="871" spans="1:21" ht="15.75" customHeight="1" x14ac:dyDescent="0.35">
      <c r="A871" s="347" t="str">
        <f>IF(J871=0,"Exclude","x")</f>
        <v>Exclude</v>
      </c>
      <c r="D871" s="431"/>
      <c r="E871" s="68" t="s">
        <v>670</v>
      </c>
      <c r="F871" s="63"/>
      <c r="G871" s="64"/>
      <c r="H871" s="65"/>
      <c r="I871" s="66"/>
      <c r="J871" s="66">
        <f>SUBTOTAL(9,J872:J880)</f>
        <v>0</v>
      </c>
      <c r="K871" s="438">
        <f>IFERROR(J871/$G$6,0)</f>
        <v>0</v>
      </c>
      <c r="L871" s="311"/>
      <c r="M871" s="66"/>
      <c r="N871" s="66">
        <f>N872</f>
        <v>0</v>
      </c>
      <c r="O871" s="317">
        <f>IFERROR(N871/$G$6,0)</f>
        <v>0</v>
      </c>
      <c r="Q871" s="281"/>
      <c r="R871" s="281"/>
      <c r="S871" s="281"/>
      <c r="T871" s="281"/>
      <c r="U871" s="281"/>
    </row>
    <row r="872" spans="1:21" ht="15.5" x14ac:dyDescent="0.3">
      <c r="A872" s="347" t="str">
        <f>IF(J872=0,"Exclude","x")</f>
        <v>Exclude</v>
      </c>
      <c r="D872" s="424" t="s">
        <v>810</v>
      </c>
      <c r="E872" s="69" t="s">
        <v>745</v>
      </c>
      <c r="F872" s="56"/>
      <c r="G872" s="57"/>
      <c r="H872" s="58"/>
      <c r="I872" s="59"/>
      <c r="J872" s="60">
        <f>SUBTOTAL(9,J873:J880)</f>
        <v>0</v>
      </c>
      <c r="K872" s="59">
        <f>IFERROR(J872/$G$6,0)</f>
        <v>0</v>
      </c>
      <c r="L872" s="309"/>
      <c r="M872" s="60"/>
      <c r="N872" s="59">
        <f>SUM(M873:M880)</f>
        <v>0</v>
      </c>
      <c r="O872" s="435">
        <f>IFERROR(N872/$G$6,0)</f>
        <v>0</v>
      </c>
      <c r="Q872" s="281"/>
      <c r="R872" s="281"/>
      <c r="S872" s="281"/>
      <c r="T872" s="281"/>
      <c r="U872" s="281"/>
    </row>
    <row r="873" spans="1:21" x14ac:dyDescent="0.3">
      <c r="A873" s="347" t="str">
        <f t="shared" ref="A873:A880" si="239">A872</f>
        <v>Exclude</v>
      </c>
      <c r="D873" s="426" t="s">
        <v>1326</v>
      </c>
      <c r="E873" s="39" t="s">
        <v>1203</v>
      </c>
      <c r="F873" s="24"/>
      <c r="G873" s="292"/>
      <c r="H873" s="25"/>
      <c r="I873" s="293"/>
      <c r="J873" s="293"/>
      <c r="K873" s="301"/>
      <c r="L873" s="300">
        <v>0</v>
      </c>
      <c r="M873" s="301">
        <f>L873</f>
        <v>0</v>
      </c>
      <c r="N873" s="293"/>
      <c r="O873" s="294"/>
      <c r="Q873" s="282"/>
      <c r="R873" s="281"/>
      <c r="S873" s="283"/>
      <c r="T873" s="283"/>
      <c r="U873" s="283"/>
    </row>
    <row r="874" spans="1:21" x14ac:dyDescent="0.3">
      <c r="A874" s="347" t="str">
        <f t="shared" si="239"/>
        <v>Exclude</v>
      </c>
      <c r="D874" s="425" t="s">
        <v>1326</v>
      </c>
      <c r="E874" s="36" t="s">
        <v>671</v>
      </c>
      <c r="F874" s="10"/>
      <c r="G874" s="21"/>
      <c r="H874" s="11" t="s">
        <v>1</v>
      </c>
      <c r="I874" s="13">
        <v>5</v>
      </c>
      <c r="J874" s="16">
        <f>G874*I874</f>
        <v>0</v>
      </c>
      <c r="K874" s="301"/>
      <c r="L874" s="298"/>
      <c r="M874" s="298">
        <f t="shared" ref="M874:M876" si="240">IF(K874="x","Included in Sub Bid",J874)</f>
        <v>0</v>
      </c>
      <c r="N874" s="16"/>
      <c r="O874" s="104"/>
      <c r="Q874" s="281"/>
      <c r="R874" s="281"/>
      <c r="S874" s="281"/>
      <c r="T874" s="281"/>
      <c r="U874" s="281"/>
    </row>
    <row r="875" spans="1:21" x14ac:dyDescent="0.3">
      <c r="A875" s="347" t="str">
        <f t="shared" si="239"/>
        <v>Exclude</v>
      </c>
      <c r="D875" s="425" t="s">
        <v>1326</v>
      </c>
      <c r="E875" s="36" t="s">
        <v>672</v>
      </c>
      <c r="F875" s="10"/>
      <c r="G875" s="21"/>
      <c r="H875" s="11" t="s">
        <v>1</v>
      </c>
      <c r="I875" s="13">
        <v>8</v>
      </c>
      <c r="J875" s="16">
        <f t="shared" ref="J875:J876" si="241">G875*I875</f>
        <v>0</v>
      </c>
      <c r="K875" s="301"/>
      <c r="L875" s="298"/>
      <c r="M875" s="298">
        <f t="shared" si="240"/>
        <v>0</v>
      </c>
      <c r="N875" s="16"/>
      <c r="O875" s="104"/>
      <c r="Q875" s="281"/>
      <c r="R875" s="281"/>
      <c r="S875" s="281"/>
      <c r="T875" s="281"/>
      <c r="U875" s="281"/>
    </row>
    <row r="876" spans="1:21" x14ac:dyDescent="0.3">
      <c r="A876" s="347" t="str">
        <f t="shared" si="239"/>
        <v>Exclude</v>
      </c>
      <c r="D876" s="425" t="s">
        <v>1326</v>
      </c>
      <c r="E876" s="36" t="s">
        <v>673</v>
      </c>
      <c r="F876" s="10"/>
      <c r="G876" s="21"/>
      <c r="H876" s="11" t="s">
        <v>1</v>
      </c>
      <c r="I876" s="13">
        <v>12</v>
      </c>
      <c r="J876" s="16">
        <f t="shared" si="241"/>
        <v>0</v>
      </c>
      <c r="K876" s="301"/>
      <c r="L876" s="298"/>
      <c r="M876" s="298">
        <f t="shared" si="240"/>
        <v>0</v>
      </c>
      <c r="N876" s="16"/>
      <c r="O876" s="104"/>
      <c r="Q876" s="281"/>
      <c r="R876" s="281"/>
      <c r="S876" s="281"/>
      <c r="T876" s="281"/>
      <c r="U876" s="281"/>
    </row>
    <row r="877" spans="1:21" x14ac:dyDescent="0.3">
      <c r="A877" s="347" t="str">
        <f t="shared" si="239"/>
        <v>Exclude</v>
      </c>
      <c r="D877" s="427" t="s">
        <v>1326</v>
      </c>
      <c r="E877" s="199" t="s">
        <v>943</v>
      </c>
      <c r="F877" s="200"/>
      <c r="G877" s="201"/>
      <c r="H877" s="202" t="s">
        <v>0</v>
      </c>
      <c r="I877" s="203"/>
      <c r="J877" s="203"/>
      <c r="K877" s="304"/>
      <c r="L877" s="302"/>
      <c r="M877" s="302">
        <f>IF(K877="x","Included in Sub Bid",G877*I877)</f>
        <v>0</v>
      </c>
      <c r="N877" s="16"/>
      <c r="O877" s="104"/>
      <c r="Q877" s="281"/>
      <c r="R877" s="281"/>
      <c r="S877" s="281"/>
      <c r="T877" s="281"/>
      <c r="U877" s="281"/>
    </row>
    <row r="878" spans="1:21" x14ac:dyDescent="0.3">
      <c r="A878" s="347" t="str">
        <f t="shared" si="239"/>
        <v>Exclude</v>
      </c>
      <c r="D878" s="427" t="s">
        <v>1326</v>
      </c>
      <c r="E878" s="199" t="s">
        <v>944</v>
      </c>
      <c r="F878" s="200"/>
      <c r="G878" s="201"/>
      <c r="H878" s="202" t="s">
        <v>0</v>
      </c>
      <c r="I878" s="203"/>
      <c r="J878" s="203"/>
      <c r="K878" s="304"/>
      <c r="L878" s="302"/>
      <c r="M878" s="302">
        <f>IF(K878="x","Included in Sub Bid",G878*I878)</f>
        <v>0</v>
      </c>
      <c r="N878" s="16"/>
      <c r="O878" s="104"/>
      <c r="Q878" s="281"/>
      <c r="R878" s="281"/>
      <c r="S878" s="281"/>
      <c r="T878" s="281"/>
      <c r="U878" s="281"/>
    </row>
    <row r="879" spans="1:21" x14ac:dyDescent="0.3">
      <c r="A879" s="347" t="str">
        <f>A876</f>
        <v>Exclude</v>
      </c>
      <c r="D879" s="425"/>
      <c r="E879" s="36"/>
      <c r="F879" s="10"/>
      <c r="G879" s="21"/>
      <c r="H879" s="11"/>
      <c r="I879" s="13"/>
      <c r="J879" s="16"/>
      <c r="K879" s="301"/>
      <c r="L879" s="298"/>
      <c r="M879" s="298"/>
      <c r="N879" s="16"/>
      <c r="O879" s="104"/>
      <c r="Q879" s="281"/>
      <c r="R879" s="281"/>
      <c r="S879" s="281"/>
      <c r="T879" s="281"/>
      <c r="U879" s="281"/>
    </row>
    <row r="880" spans="1:21" x14ac:dyDescent="0.3">
      <c r="A880" s="347" t="str">
        <f t="shared" si="239"/>
        <v>Exclude</v>
      </c>
      <c r="D880" s="425"/>
      <c r="E880" s="36"/>
      <c r="F880" s="10"/>
      <c r="G880" s="21"/>
      <c r="H880" s="11"/>
      <c r="I880" s="13"/>
      <c r="J880" s="16"/>
      <c r="K880" s="301"/>
      <c r="L880" s="298"/>
      <c r="M880" s="298"/>
      <c r="N880" s="16"/>
      <c r="O880" s="104"/>
      <c r="Q880" s="281"/>
      <c r="R880" s="281"/>
      <c r="S880" s="281"/>
      <c r="T880" s="281"/>
      <c r="U880" s="281"/>
    </row>
    <row r="881" spans="1:21" ht="15.75" customHeight="1" x14ac:dyDescent="0.35">
      <c r="A881" s="347" t="str">
        <f>IF(J881=0,"Exclude","x")</f>
        <v>Exclude</v>
      </c>
      <c r="D881" s="431"/>
      <c r="E881" s="68" t="s">
        <v>554</v>
      </c>
      <c r="F881" s="63"/>
      <c r="G881" s="64"/>
      <c r="H881" s="65"/>
      <c r="I881" s="66"/>
      <c r="J881" s="66">
        <f>SUBTOTAL(9,J882:J891)</f>
        <v>0</v>
      </c>
      <c r="K881" s="438">
        <f>IFERROR(J881/$G$6,0)</f>
        <v>0</v>
      </c>
      <c r="L881" s="311"/>
      <c r="M881" s="66"/>
      <c r="N881" s="66">
        <f>N882</f>
        <v>0</v>
      </c>
      <c r="O881" s="317">
        <f>IFERROR(N881/$G$6,0)</f>
        <v>0</v>
      </c>
      <c r="Q881" s="281"/>
      <c r="R881" s="281"/>
      <c r="S881" s="281"/>
      <c r="T881" s="281"/>
      <c r="U881" s="281"/>
    </row>
    <row r="882" spans="1:21" ht="15.5" x14ac:dyDescent="0.3">
      <c r="A882" s="347" t="str">
        <f>IF(J882=0,"Exclude","x")</f>
        <v>Exclude</v>
      </c>
      <c r="D882" s="424" t="s">
        <v>809</v>
      </c>
      <c r="E882" s="69" t="s">
        <v>615</v>
      </c>
      <c r="F882" s="56"/>
      <c r="G882" s="57"/>
      <c r="H882" s="58"/>
      <c r="I882" s="59"/>
      <c r="J882" s="60">
        <f>SUBTOTAL(9,J883:J891)</f>
        <v>0</v>
      </c>
      <c r="K882" s="59">
        <f>IFERROR(J882/$G$6,0)</f>
        <v>0</v>
      </c>
      <c r="L882" s="309"/>
      <c r="M882" s="60"/>
      <c r="N882" s="59">
        <f>SUM(M883:M891)</f>
        <v>0</v>
      </c>
      <c r="O882" s="435">
        <f>IFERROR(N882/$G$6,0)</f>
        <v>0</v>
      </c>
      <c r="Q882" s="281"/>
      <c r="R882" s="281"/>
      <c r="S882" s="281"/>
      <c r="T882" s="281"/>
      <c r="U882" s="281"/>
    </row>
    <row r="883" spans="1:21" x14ac:dyDescent="0.3">
      <c r="A883" s="347" t="str">
        <f t="shared" ref="A883:A891" si="242">A882</f>
        <v>Exclude</v>
      </c>
      <c r="D883" s="426" t="s">
        <v>1327</v>
      </c>
      <c r="E883" s="39" t="s">
        <v>1203</v>
      </c>
      <c r="F883" s="24"/>
      <c r="G883" s="292"/>
      <c r="H883" s="25"/>
      <c r="I883" s="293"/>
      <c r="J883" s="293"/>
      <c r="K883" s="301"/>
      <c r="L883" s="300">
        <v>0</v>
      </c>
      <c r="M883" s="301">
        <f>L883</f>
        <v>0</v>
      </c>
      <c r="N883" s="293"/>
      <c r="O883" s="294"/>
      <c r="Q883" s="282"/>
      <c r="R883" s="281"/>
      <c r="S883" s="283"/>
      <c r="T883" s="283"/>
      <c r="U883" s="283"/>
    </row>
    <row r="884" spans="1:21" x14ac:dyDescent="0.3">
      <c r="A884" s="347" t="str">
        <f t="shared" si="242"/>
        <v>Exclude</v>
      </c>
      <c r="D884" s="425" t="s">
        <v>1327</v>
      </c>
      <c r="E884" s="44" t="s">
        <v>370</v>
      </c>
      <c r="F884" s="10"/>
      <c r="G884" s="18"/>
      <c r="H884" s="29" t="s">
        <v>1</v>
      </c>
      <c r="I884" s="13">
        <v>12</v>
      </c>
      <c r="J884" s="16">
        <f t="shared" ref="J884:J885" si="243">G884*I884</f>
        <v>0</v>
      </c>
      <c r="K884" s="304"/>
      <c r="L884" s="298"/>
      <c r="M884" s="298">
        <f t="shared" ref="M884:M887" si="244">IF(K884="x","Included in Sub Bid",J884)</f>
        <v>0</v>
      </c>
      <c r="N884" s="16"/>
      <c r="O884" s="118"/>
      <c r="Q884" s="281"/>
      <c r="R884" s="281"/>
      <c r="S884" s="281"/>
      <c r="T884" s="281"/>
      <c r="U884" s="281"/>
    </row>
    <row r="885" spans="1:21" x14ac:dyDescent="0.3">
      <c r="A885" s="347" t="str">
        <f t="shared" si="242"/>
        <v>Exclude</v>
      </c>
      <c r="D885" s="425" t="s">
        <v>1327</v>
      </c>
      <c r="E885" s="44" t="s">
        <v>371</v>
      </c>
      <c r="F885" s="10"/>
      <c r="G885" s="18"/>
      <c r="H885" s="12" t="s">
        <v>1</v>
      </c>
      <c r="I885" s="13"/>
      <c r="J885" s="16">
        <f t="shared" si="243"/>
        <v>0</v>
      </c>
      <c r="K885" s="304"/>
      <c r="L885" s="298"/>
      <c r="M885" s="298">
        <f t="shared" si="244"/>
        <v>0</v>
      </c>
      <c r="N885" s="16"/>
      <c r="O885" s="118"/>
      <c r="Q885" s="281"/>
      <c r="R885" s="281"/>
      <c r="S885" s="281"/>
      <c r="T885" s="281"/>
      <c r="U885" s="281"/>
    </row>
    <row r="886" spans="1:21" x14ac:dyDescent="0.3">
      <c r="A886" s="347" t="str">
        <f t="shared" si="242"/>
        <v>Exclude</v>
      </c>
      <c r="D886" s="425" t="s">
        <v>1327</v>
      </c>
      <c r="E886" s="44" t="s">
        <v>221</v>
      </c>
      <c r="F886" s="10"/>
      <c r="G886" s="18"/>
      <c r="H886" s="12" t="s">
        <v>1</v>
      </c>
      <c r="I886" s="13"/>
      <c r="J886" s="16">
        <f t="shared" ref="J886" si="245">G886*I886</f>
        <v>0</v>
      </c>
      <c r="K886" s="304"/>
      <c r="L886" s="298"/>
      <c r="M886" s="298">
        <f t="shared" si="244"/>
        <v>0</v>
      </c>
      <c r="N886" s="16"/>
      <c r="O886" s="118"/>
      <c r="Q886" s="281"/>
      <c r="R886" s="281"/>
      <c r="S886" s="281"/>
      <c r="T886" s="281"/>
      <c r="U886" s="281"/>
    </row>
    <row r="887" spans="1:21" x14ac:dyDescent="0.3">
      <c r="A887" s="347" t="str">
        <f t="shared" si="242"/>
        <v>Exclude</v>
      </c>
      <c r="D887" s="425" t="s">
        <v>1327</v>
      </c>
      <c r="E887" s="44" t="s">
        <v>676</v>
      </c>
      <c r="F887" s="10"/>
      <c r="G887" s="18"/>
      <c r="H887" s="12" t="s">
        <v>1</v>
      </c>
      <c r="I887" s="13">
        <v>4.5</v>
      </c>
      <c r="J887" s="16">
        <f t="shared" ref="J887" si="246">G887*I887</f>
        <v>0</v>
      </c>
      <c r="K887" s="304"/>
      <c r="L887" s="298"/>
      <c r="M887" s="298">
        <f t="shared" si="244"/>
        <v>0</v>
      </c>
      <c r="N887" s="16"/>
      <c r="O887" s="118"/>
      <c r="Q887" s="281"/>
      <c r="R887" s="281"/>
      <c r="S887" s="281"/>
      <c r="T887" s="281"/>
      <c r="U887" s="281"/>
    </row>
    <row r="888" spans="1:21" x14ac:dyDescent="0.3">
      <c r="A888" s="347" t="str">
        <f t="shared" si="242"/>
        <v>Exclude</v>
      </c>
      <c r="D888" s="427" t="s">
        <v>1327</v>
      </c>
      <c r="E888" s="199" t="s">
        <v>943</v>
      </c>
      <c r="F888" s="200"/>
      <c r="G888" s="201"/>
      <c r="H888" s="202" t="s">
        <v>0</v>
      </c>
      <c r="I888" s="203"/>
      <c r="J888" s="203"/>
      <c r="K888" s="304"/>
      <c r="L888" s="302"/>
      <c r="M888" s="302">
        <f>IF(K888="x","Included in Sub Bid",G888*I888)</f>
        <v>0</v>
      </c>
      <c r="N888" s="16"/>
      <c r="O888" s="104"/>
      <c r="Q888" s="281"/>
      <c r="R888" s="281"/>
      <c r="S888" s="281"/>
      <c r="T888" s="281"/>
      <c r="U888" s="281"/>
    </row>
    <row r="889" spans="1:21" x14ac:dyDescent="0.3">
      <c r="A889" s="347" t="str">
        <f t="shared" si="242"/>
        <v>Exclude</v>
      </c>
      <c r="D889" s="427" t="s">
        <v>1327</v>
      </c>
      <c r="E889" s="199" t="s">
        <v>944</v>
      </c>
      <c r="F889" s="200"/>
      <c r="G889" s="201"/>
      <c r="H889" s="202" t="s">
        <v>0</v>
      </c>
      <c r="I889" s="203"/>
      <c r="J889" s="203"/>
      <c r="K889" s="304"/>
      <c r="L889" s="302"/>
      <c r="M889" s="302">
        <f>IF(K889="x","Included in Sub Bid",G889*I889)</f>
        <v>0</v>
      </c>
      <c r="N889" s="16"/>
      <c r="O889" s="104"/>
      <c r="Q889" s="281"/>
      <c r="R889" s="281"/>
      <c r="S889" s="281"/>
      <c r="T889" s="281"/>
      <c r="U889" s="281"/>
    </row>
    <row r="890" spans="1:21" x14ac:dyDescent="0.3">
      <c r="A890" s="347" t="str">
        <f t="shared" si="242"/>
        <v>Exclude</v>
      </c>
      <c r="D890" s="425"/>
      <c r="E890" s="44"/>
      <c r="F890" s="10"/>
      <c r="G890" s="21"/>
      <c r="H890" s="12"/>
      <c r="I890" s="13"/>
      <c r="J890" s="16"/>
      <c r="K890" s="304"/>
      <c r="L890" s="298"/>
      <c r="M890" s="298"/>
      <c r="N890" s="16"/>
      <c r="O890" s="104"/>
      <c r="Q890" s="281"/>
      <c r="R890" s="281"/>
      <c r="S890" s="281"/>
      <c r="T890" s="281"/>
      <c r="U890" s="281"/>
    </row>
    <row r="891" spans="1:21" x14ac:dyDescent="0.3">
      <c r="A891" s="347" t="str">
        <f t="shared" si="242"/>
        <v>Exclude</v>
      </c>
      <c r="D891" s="425"/>
      <c r="E891" s="39"/>
      <c r="F891" s="10"/>
      <c r="G891" s="21"/>
      <c r="H891" s="12"/>
      <c r="I891" s="13"/>
      <c r="J891" s="16"/>
      <c r="K891" s="301"/>
      <c r="L891" s="298"/>
      <c r="M891" s="298"/>
      <c r="N891" s="16"/>
      <c r="O891" s="114"/>
      <c r="Q891" s="281"/>
      <c r="R891" s="281"/>
      <c r="S891" s="281"/>
      <c r="T891" s="281"/>
      <c r="U891" s="281"/>
    </row>
    <row r="892" spans="1:21" ht="15.75" customHeight="1" x14ac:dyDescent="0.35">
      <c r="A892" s="347" t="str">
        <f>IF(J892=0,"Exclude","x")</f>
        <v>Exclude</v>
      </c>
      <c r="D892" s="431"/>
      <c r="E892" s="68" t="s">
        <v>641</v>
      </c>
      <c r="F892" s="63"/>
      <c r="G892" s="64"/>
      <c r="H892" s="65"/>
      <c r="I892" s="66"/>
      <c r="J892" s="66">
        <f>SUBTOTAL(9,J893:J909)</f>
        <v>0</v>
      </c>
      <c r="K892" s="438">
        <f>IFERROR(J892/$G$6,0)</f>
        <v>0</v>
      </c>
      <c r="L892" s="311"/>
      <c r="M892" s="66"/>
      <c r="N892" s="66">
        <f>N893+N903</f>
        <v>0</v>
      </c>
      <c r="O892" s="317">
        <f>IFERROR(N892/$G$6,0)</f>
        <v>0</v>
      </c>
      <c r="Q892" s="281"/>
      <c r="R892" s="281"/>
      <c r="S892" s="281"/>
      <c r="T892" s="281"/>
      <c r="U892" s="281"/>
    </row>
    <row r="893" spans="1:21" ht="15.5" x14ac:dyDescent="0.3">
      <c r="A893" s="347" t="str">
        <f>IF(J893=0,"Exclude","x")</f>
        <v>Exclude</v>
      </c>
      <c r="D893" s="424" t="s">
        <v>808</v>
      </c>
      <c r="E893" s="69" t="s">
        <v>555</v>
      </c>
      <c r="F893" s="56"/>
      <c r="G893" s="57"/>
      <c r="H893" s="58"/>
      <c r="I893" s="59"/>
      <c r="J893" s="60">
        <f>SUBTOTAL(9,J894:J902)</f>
        <v>0</v>
      </c>
      <c r="K893" s="59">
        <f>IFERROR(J893/$G$6,0)</f>
        <v>0</v>
      </c>
      <c r="L893" s="309"/>
      <c r="M893" s="60"/>
      <c r="N893" s="59">
        <f>SUM(M894:M902)</f>
        <v>0</v>
      </c>
      <c r="O893" s="435">
        <f>IFERROR(N893/$G$6,0)</f>
        <v>0</v>
      </c>
      <c r="Q893" s="281"/>
      <c r="R893" s="281"/>
      <c r="S893" s="281"/>
      <c r="T893" s="281"/>
      <c r="U893" s="281"/>
    </row>
    <row r="894" spans="1:21" x14ac:dyDescent="0.3">
      <c r="A894" s="347" t="str">
        <f t="shared" ref="A894:A902" si="247">A893</f>
        <v>Exclude</v>
      </c>
      <c r="D894" s="426" t="s">
        <v>1328</v>
      </c>
      <c r="E894" s="39" t="s">
        <v>1203</v>
      </c>
      <c r="F894" s="24"/>
      <c r="G894" s="292"/>
      <c r="H894" s="25"/>
      <c r="I894" s="293"/>
      <c r="J894" s="293"/>
      <c r="K894" s="301"/>
      <c r="L894" s="300">
        <v>0</v>
      </c>
      <c r="M894" s="301">
        <f>L894</f>
        <v>0</v>
      </c>
      <c r="N894" s="293"/>
      <c r="O894" s="294"/>
      <c r="Q894" s="282"/>
      <c r="R894" s="281"/>
      <c r="S894" s="283"/>
      <c r="T894" s="283"/>
      <c r="U894" s="283"/>
    </row>
    <row r="895" spans="1:21" x14ac:dyDescent="0.3">
      <c r="A895" s="347" t="str">
        <f t="shared" si="247"/>
        <v>Exclude</v>
      </c>
      <c r="D895" s="425" t="s">
        <v>1328</v>
      </c>
      <c r="E895" s="44" t="s">
        <v>232</v>
      </c>
      <c r="F895" s="10"/>
      <c r="G895" s="21"/>
      <c r="H895" s="12" t="s">
        <v>789</v>
      </c>
      <c r="I895" s="13">
        <v>25000</v>
      </c>
      <c r="J895" s="16">
        <f>G895*I895</f>
        <v>0</v>
      </c>
      <c r="K895" s="304"/>
      <c r="L895" s="298"/>
      <c r="M895" s="298">
        <f t="shared" ref="M895:M898" si="248">IF(K895="x","Included in Sub Bid",J895)</f>
        <v>0</v>
      </c>
      <c r="N895" s="16"/>
      <c r="O895" s="104"/>
      <c r="Q895" s="281"/>
      <c r="R895" s="281"/>
      <c r="S895" s="281"/>
      <c r="T895" s="281"/>
      <c r="U895" s="281"/>
    </row>
    <row r="896" spans="1:21" x14ac:dyDescent="0.3">
      <c r="A896" s="347" t="str">
        <f t="shared" si="247"/>
        <v>Exclude</v>
      </c>
      <c r="D896" s="425" t="s">
        <v>1328</v>
      </c>
      <c r="E896" s="44" t="s">
        <v>462</v>
      </c>
      <c r="F896" s="10"/>
      <c r="G896" s="21"/>
      <c r="H896" s="12" t="s">
        <v>789</v>
      </c>
      <c r="I896" s="13">
        <v>30000</v>
      </c>
      <c r="J896" s="16">
        <f>G896*I896</f>
        <v>0</v>
      </c>
      <c r="K896" s="304"/>
      <c r="L896" s="298"/>
      <c r="M896" s="298">
        <f t="shared" si="248"/>
        <v>0</v>
      </c>
      <c r="N896" s="16"/>
      <c r="O896" s="104"/>
      <c r="Q896" s="281"/>
      <c r="R896" s="281"/>
      <c r="S896" s="281"/>
      <c r="T896" s="281"/>
      <c r="U896" s="281"/>
    </row>
    <row r="897" spans="1:21" x14ac:dyDescent="0.3">
      <c r="A897" s="347" t="str">
        <f t="shared" si="247"/>
        <v>Exclude</v>
      </c>
      <c r="D897" s="425" t="s">
        <v>1328</v>
      </c>
      <c r="E897" s="44" t="s">
        <v>788</v>
      </c>
      <c r="F897" s="10"/>
      <c r="G897" s="21"/>
      <c r="H897" s="12" t="s">
        <v>789</v>
      </c>
      <c r="I897" s="13">
        <v>25000</v>
      </c>
      <c r="J897" s="16">
        <f>G897*I897</f>
        <v>0</v>
      </c>
      <c r="K897" s="304"/>
      <c r="L897" s="298"/>
      <c r="M897" s="298">
        <f t="shared" si="248"/>
        <v>0</v>
      </c>
      <c r="N897" s="16"/>
      <c r="O897" s="104"/>
      <c r="Q897" s="281"/>
      <c r="R897" s="281"/>
      <c r="S897" s="281"/>
      <c r="T897" s="281"/>
      <c r="U897" s="281"/>
    </row>
    <row r="898" spans="1:21" x14ac:dyDescent="0.3">
      <c r="A898" s="347" t="str">
        <f t="shared" si="247"/>
        <v>Exclude</v>
      </c>
      <c r="D898" s="425" t="s">
        <v>1328</v>
      </c>
      <c r="E898" s="44" t="s">
        <v>233</v>
      </c>
      <c r="F898" s="10"/>
      <c r="G898" s="21"/>
      <c r="H898" s="12" t="s">
        <v>2</v>
      </c>
      <c r="I898" s="13">
        <v>15000</v>
      </c>
      <c r="J898" s="16">
        <f t="shared" ref="J898" si="249">G898*I898</f>
        <v>0</v>
      </c>
      <c r="K898" s="304"/>
      <c r="L898" s="298"/>
      <c r="M898" s="298">
        <f t="shared" si="248"/>
        <v>0</v>
      </c>
      <c r="N898" s="16"/>
      <c r="O898" s="104"/>
      <c r="Q898" s="281"/>
      <c r="R898" s="281"/>
      <c r="S898" s="281"/>
      <c r="T898" s="281"/>
      <c r="U898" s="281"/>
    </row>
    <row r="899" spans="1:21" x14ac:dyDescent="0.3">
      <c r="A899" s="347" t="str">
        <f t="shared" si="247"/>
        <v>Exclude</v>
      </c>
      <c r="D899" s="427" t="s">
        <v>1328</v>
      </c>
      <c r="E899" s="199" t="s">
        <v>943</v>
      </c>
      <c r="F899" s="200"/>
      <c r="G899" s="201"/>
      <c r="H899" s="202" t="s">
        <v>0</v>
      </c>
      <c r="I899" s="203"/>
      <c r="J899" s="203"/>
      <c r="K899" s="304"/>
      <c r="L899" s="302"/>
      <c r="M899" s="302">
        <f>IF(K899="x","Included in Sub Bid",G899*I899)</f>
        <v>0</v>
      </c>
      <c r="N899" s="16"/>
      <c r="O899" s="104"/>
      <c r="Q899" s="281"/>
      <c r="R899" s="281"/>
      <c r="S899" s="281"/>
      <c r="T899" s="281"/>
      <c r="U899" s="281"/>
    </row>
    <row r="900" spans="1:21" x14ac:dyDescent="0.3">
      <c r="A900" s="347" t="str">
        <f t="shared" si="247"/>
        <v>Exclude</v>
      </c>
      <c r="D900" s="427" t="s">
        <v>1328</v>
      </c>
      <c r="E900" s="199" t="s">
        <v>944</v>
      </c>
      <c r="F900" s="200"/>
      <c r="G900" s="201"/>
      <c r="H900" s="202" t="s">
        <v>0</v>
      </c>
      <c r="I900" s="203"/>
      <c r="J900" s="203"/>
      <c r="K900" s="304"/>
      <c r="L900" s="302"/>
      <c r="M900" s="302">
        <f>IF(K900="x","Included in Sub Bid",G900*I900)</f>
        <v>0</v>
      </c>
      <c r="N900" s="16"/>
      <c r="O900" s="104"/>
      <c r="Q900" s="281"/>
      <c r="R900" s="281"/>
      <c r="S900" s="281"/>
      <c r="T900" s="281"/>
      <c r="U900" s="281"/>
    </row>
    <row r="901" spans="1:21" x14ac:dyDescent="0.3">
      <c r="A901" s="347" t="str">
        <f t="shared" si="247"/>
        <v>Exclude</v>
      </c>
      <c r="D901" s="425"/>
      <c r="E901" s="39"/>
      <c r="F901" s="10"/>
      <c r="G901" s="21"/>
      <c r="H901" s="12"/>
      <c r="I901" s="13"/>
      <c r="J901" s="16"/>
      <c r="K901" s="304"/>
      <c r="L901" s="298"/>
      <c r="M901" s="298"/>
      <c r="N901" s="16"/>
      <c r="O901" s="114"/>
      <c r="Q901" s="281"/>
      <c r="R901" s="281"/>
      <c r="S901" s="281"/>
      <c r="T901" s="281"/>
      <c r="U901" s="281"/>
    </row>
    <row r="902" spans="1:21" x14ac:dyDescent="0.3">
      <c r="A902" s="347" t="str">
        <f t="shared" si="247"/>
        <v>Exclude</v>
      </c>
      <c r="D902" s="425"/>
      <c r="E902" s="39"/>
      <c r="F902" s="10"/>
      <c r="G902" s="21"/>
      <c r="H902" s="12"/>
      <c r="I902" s="13"/>
      <c r="J902" s="16"/>
      <c r="K902" s="301"/>
      <c r="L902" s="298"/>
      <c r="M902" s="298"/>
      <c r="N902" s="16"/>
      <c r="O902" s="114"/>
      <c r="Q902" s="281"/>
      <c r="R902" s="281"/>
      <c r="S902" s="281"/>
      <c r="T902" s="281"/>
      <c r="U902" s="281"/>
    </row>
    <row r="903" spans="1:21" ht="15.5" x14ac:dyDescent="0.3">
      <c r="A903" s="347" t="str">
        <f>IF(J903=0,"Exclude","x")</f>
        <v>Exclude</v>
      </c>
      <c r="D903" s="424" t="s">
        <v>808</v>
      </c>
      <c r="E903" s="69" t="s">
        <v>922</v>
      </c>
      <c r="F903" s="56"/>
      <c r="G903" s="57"/>
      <c r="H903" s="58"/>
      <c r="I903" s="59"/>
      <c r="J903" s="60">
        <f>SUBTOTAL(9,J904:J909)</f>
        <v>0</v>
      </c>
      <c r="K903" s="59">
        <f>IFERROR(J903/$G$6,0)</f>
        <v>0</v>
      </c>
      <c r="L903" s="309"/>
      <c r="M903" s="60"/>
      <c r="N903" s="59">
        <f>SUM(M904:M909)</f>
        <v>0</v>
      </c>
      <c r="O903" s="435">
        <f>IFERROR(N903/$G$6,0)</f>
        <v>0</v>
      </c>
      <c r="Q903" s="281"/>
      <c r="R903" s="281"/>
      <c r="S903" s="281"/>
      <c r="T903" s="281"/>
      <c r="U903" s="281"/>
    </row>
    <row r="904" spans="1:21" x14ac:dyDescent="0.3">
      <c r="A904" s="347" t="str">
        <f>IF(J904=0,"Exclude","x")</f>
        <v>Exclude</v>
      </c>
      <c r="D904" s="426" t="s">
        <v>1329</v>
      </c>
      <c r="E904" s="39" t="s">
        <v>1203</v>
      </c>
      <c r="F904" s="24"/>
      <c r="G904" s="292"/>
      <c r="H904" s="25"/>
      <c r="I904" s="293"/>
      <c r="J904" s="293"/>
      <c r="K904" s="301"/>
      <c r="L904" s="300">
        <v>0</v>
      </c>
      <c r="M904" s="301">
        <f>L904</f>
        <v>0</v>
      </c>
      <c r="N904" s="293"/>
      <c r="O904" s="294"/>
      <c r="Q904" s="282"/>
      <c r="R904" s="281"/>
      <c r="S904" s="283"/>
      <c r="T904" s="283"/>
      <c r="U904" s="283"/>
    </row>
    <row r="905" spans="1:21" x14ac:dyDescent="0.3">
      <c r="A905" s="347" t="str">
        <f t="shared" ref="A905:A909" si="250">A904</f>
        <v>Exclude</v>
      </c>
      <c r="D905" s="425" t="s">
        <v>1329</v>
      </c>
      <c r="E905" s="44" t="s">
        <v>573</v>
      </c>
      <c r="F905" s="10"/>
      <c r="G905" s="21"/>
      <c r="H905" s="12" t="s">
        <v>2</v>
      </c>
      <c r="I905" s="13">
        <v>25000</v>
      </c>
      <c r="J905" s="16">
        <f>G905*I905</f>
        <v>0</v>
      </c>
      <c r="K905" s="304"/>
      <c r="L905" s="298"/>
      <c r="M905" s="298">
        <f t="shared" ref="M905" si="251">IF(K905="x","Included in Sub Bid",J905)</f>
        <v>0</v>
      </c>
      <c r="N905" s="16"/>
      <c r="O905" s="104"/>
      <c r="Q905" s="281"/>
      <c r="R905" s="281"/>
      <c r="S905" s="281"/>
      <c r="T905" s="281"/>
      <c r="U905" s="281"/>
    </row>
    <row r="906" spans="1:21" x14ac:dyDescent="0.3">
      <c r="A906" s="347" t="str">
        <f t="shared" si="250"/>
        <v>Exclude</v>
      </c>
      <c r="D906" s="427" t="s">
        <v>1329</v>
      </c>
      <c r="E906" s="199" t="s">
        <v>943</v>
      </c>
      <c r="F906" s="200"/>
      <c r="G906" s="201"/>
      <c r="H906" s="202" t="s">
        <v>0</v>
      </c>
      <c r="I906" s="203"/>
      <c r="J906" s="203"/>
      <c r="K906" s="304"/>
      <c r="L906" s="302"/>
      <c r="M906" s="302">
        <f>IF(K906="x","Included in Sub Bid",G906*I906)</f>
        <v>0</v>
      </c>
      <c r="N906" s="16"/>
      <c r="O906" s="104"/>
      <c r="Q906" s="281"/>
      <c r="R906" s="281"/>
      <c r="S906" s="281"/>
      <c r="T906" s="281"/>
      <c r="U906" s="281"/>
    </row>
    <row r="907" spans="1:21" x14ac:dyDescent="0.3">
      <c r="A907" s="347" t="str">
        <f t="shared" si="250"/>
        <v>Exclude</v>
      </c>
      <c r="D907" s="427" t="s">
        <v>1329</v>
      </c>
      <c r="E907" s="199" t="s">
        <v>944</v>
      </c>
      <c r="F907" s="200"/>
      <c r="G907" s="201"/>
      <c r="H907" s="202" t="s">
        <v>0</v>
      </c>
      <c r="I907" s="203"/>
      <c r="J907" s="203"/>
      <c r="K907" s="304"/>
      <c r="L907" s="302"/>
      <c r="M907" s="302">
        <f>IF(K907="x","Included in Sub Bid",G907*I907)</f>
        <v>0</v>
      </c>
      <c r="N907" s="16"/>
      <c r="O907" s="104"/>
      <c r="Q907" s="281"/>
      <c r="R907" s="281"/>
      <c r="S907" s="281"/>
      <c r="T907" s="281"/>
      <c r="U907" s="281"/>
    </row>
    <row r="908" spans="1:21" x14ac:dyDescent="0.3">
      <c r="A908" s="347" t="str">
        <f t="shared" si="250"/>
        <v>Exclude</v>
      </c>
      <c r="D908" s="427"/>
      <c r="E908" s="199"/>
      <c r="F908" s="200"/>
      <c r="G908" s="201"/>
      <c r="H908" s="202"/>
      <c r="I908" s="203"/>
      <c r="J908" s="203"/>
      <c r="K908" s="304"/>
      <c r="L908" s="302"/>
      <c r="M908" s="298"/>
      <c r="N908" s="16"/>
      <c r="O908" s="104"/>
      <c r="Q908" s="281"/>
      <c r="R908" s="281"/>
      <c r="S908" s="281"/>
      <c r="T908" s="281"/>
      <c r="U908" s="281"/>
    </row>
    <row r="909" spans="1:21" x14ac:dyDescent="0.3">
      <c r="A909" s="347" t="str">
        <f t="shared" si="250"/>
        <v>Exclude</v>
      </c>
      <c r="D909" s="425"/>
      <c r="E909" s="39"/>
      <c r="F909" s="10"/>
      <c r="G909" s="21"/>
      <c r="H909" s="12"/>
      <c r="I909" s="13"/>
      <c r="J909" s="16"/>
      <c r="K909" s="301"/>
      <c r="L909" s="298"/>
      <c r="M909" s="298"/>
      <c r="N909" s="16"/>
      <c r="O909" s="114"/>
      <c r="Q909" s="281"/>
      <c r="R909" s="281"/>
      <c r="S909" s="281"/>
      <c r="T909" s="281"/>
      <c r="U909" s="281"/>
    </row>
    <row r="910" spans="1:21" ht="15.5" x14ac:dyDescent="0.35">
      <c r="A910" s="347" t="str">
        <f>IF(J910=0,"Exclude","x")</f>
        <v>Exclude</v>
      </c>
      <c r="D910" s="431"/>
      <c r="E910" s="68" t="s">
        <v>642</v>
      </c>
      <c r="F910" s="63"/>
      <c r="G910" s="64"/>
      <c r="H910" s="65"/>
      <c r="I910" s="66"/>
      <c r="J910" s="66">
        <f>SUBTOTAL(9,J911:J930)</f>
        <v>0</v>
      </c>
      <c r="K910" s="438">
        <f>IFERROR(J910/$G$6,0)</f>
        <v>0</v>
      </c>
      <c r="L910" s="311"/>
      <c r="M910" s="66"/>
      <c r="N910" s="66">
        <f>N911</f>
        <v>0</v>
      </c>
      <c r="O910" s="317">
        <f>IFERROR(N910/$G$6,0)</f>
        <v>0</v>
      </c>
      <c r="Q910" s="281"/>
      <c r="R910" s="281"/>
      <c r="S910" s="281"/>
      <c r="T910" s="281"/>
      <c r="U910" s="281"/>
    </row>
    <row r="911" spans="1:21" ht="15.5" x14ac:dyDescent="0.3">
      <c r="A911" s="347" t="str">
        <f>IF(J911=0,"Exclude","x")</f>
        <v>Exclude</v>
      </c>
      <c r="D911" s="424" t="s">
        <v>807</v>
      </c>
      <c r="E911" s="69" t="s">
        <v>642</v>
      </c>
      <c r="F911" s="56"/>
      <c r="G911" s="57"/>
      <c r="H911" s="58"/>
      <c r="I911" s="59"/>
      <c r="J911" s="60">
        <f>SUBTOTAL(9,J912:J930)</f>
        <v>0</v>
      </c>
      <c r="K911" s="59">
        <f>IFERROR(J911/$G$6,0)</f>
        <v>0</v>
      </c>
      <c r="L911" s="309"/>
      <c r="M911" s="60"/>
      <c r="N911" s="59">
        <f>SUM(M912:M930)</f>
        <v>0</v>
      </c>
      <c r="O911" s="435">
        <f>IFERROR(N911/$G$6,0)</f>
        <v>0</v>
      </c>
      <c r="Q911" s="281"/>
      <c r="R911" s="281"/>
      <c r="S911" s="281"/>
      <c r="T911" s="281"/>
      <c r="U911" s="281"/>
    </row>
    <row r="912" spans="1:21" x14ac:dyDescent="0.3">
      <c r="A912" s="347" t="str">
        <f t="shared" ref="A912:A930" si="252">A911</f>
        <v>Exclude</v>
      </c>
      <c r="D912" s="426" t="s">
        <v>1330</v>
      </c>
      <c r="E912" s="39" t="s">
        <v>1203</v>
      </c>
      <c r="F912" s="24"/>
      <c r="G912" s="292"/>
      <c r="H912" s="25"/>
      <c r="I912" s="293"/>
      <c r="J912" s="293"/>
      <c r="K912" s="301"/>
      <c r="L912" s="300">
        <v>0</v>
      </c>
      <c r="M912" s="301">
        <f>L912</f>
        <v>0</v>
      </c>
      <c r="N912" s="293"/>
      <c r="O912" s="294"/>
      <c r="Q912" s="282"/>
      <c r="R912" s="281"/>
      <c r="S912" s="283"/>
      <c r="T912" s="283"/>
      <c r="U912" s="283"/>
    </row>
    <row r="913" spans="1:21" x14ac:dyDescent="0.3">
      <c r="A913" s="347" t="str">
        <f t="shared" si="252"/>
        <v>Exclude</v>
      </c>
      <c r="D913" s="425" t="s">
        <v>1330</v>
      </c>
      <c r="E913" s="36" t="s">
        <v>1173</v>
      </c>
      <c r="F913" s="10" t="str">
        <f>'Project Info Input'!C85</f>
        <v>K-17</v>
      </c>
      <c r="G913" s="21">
        <f>'Project Info Input'!C84</f>
        <v>0</v>
      </c>
      <c r="H913" s="11" t="s">
        <v>1</v>
      </c>
      <c r="I913" s="13">
        <v>1.2</v>
      </c>
      <c r="J913" s="16">
        <f>G913*I913</f>
        <v>0</v>
      </c>
      <c r="K913" s="304"/>
      <c r="L913" s="298"/>
      <c r="M913" s="298">
        <f t="shared" ref="M913:M925" si="253">IF(K913="x","Included in Sub Bid",J913)</f>
        <v>0</v>
      </c>
      <c r="N913" s="16"/>
      <c r="O913" s="104"/>
      <c r="Q913" s="281"/>
      <c r="R913" s="281"/>
      <c r="S913" s="281"/>
      <c r="T913" s="281"/>
      <c r="U913" s="281"/>
    </row>
    <row r="914" spans="1:21" x14ac:dyDescent="0.3">
      <c r="A914" s="347" t="str">
        <f t="shared" si="252"/>
        <v>Exclude</v>
      </c>
      <c r="D914" s="425" t="s">
        <v>1330</v>
      </c>
      <c r="E914" s="36" t="s">
        <v>1390</v>
      </c>
      <c r="F914" s="10"/>
      <c r="G914" s="21"/>
      <c r="H914" s="11" t="s">
        <v>1</v>
      </c>
      <c r="I914" s="13"/>
      <c r="J914" s="16">
        <f>G914*I914</f>
        <v>0</v>
      </c>
      <c r="K914" s="304"/>
      <c r="L914" s="298"/>
      <c r="M914" s="298">
        <f t="shared" ref="M914" si="254">IF(K914="x","Included in Sub Bid",J914)</f>
        <v>0</v>
      </c>
      <c r="N914" s="16"/>
      <c r="O914" s="104"/>
      <c r="Q914" s="281"/>
      <c r="R914" s="281"/>
      <c r="S914" s="281"/>
      <c r="T914" s="281"/>
      <c r="U914" s="281"/>
    </row>
    <row r="915" spans="1:21" x14ac:dyDescent="0.3">
      <c r="A915" s="347" t="str">
        <f>A913</f>
        <v>Exclude</v>
      </c>
      <c r="D915" s="425" t="s">
        <v>1330</v>
      </c>
      <c r="E915" s="36" t="s">
        <v>423</v>
      </c>
      <c r="F915" s="11"/>
      <c r="G915" s="21">
        <f>IF(G913=0,0,IF('Project Info Input'!C86="Electric",1,0))</f>
        <v>0</v>
      </c>
      <c r="H915" s="11" t="s">
        <v>2</v>
      </c>
      <c r="I915" s="13">
        <v>45000</v>
      </c>
      <c r="J915" s="16">
        <f t="shared" ref="J915" si="255">G915*I915</f>
        <v>0</v>
      </c>
      <c r="K915" s="304"/>
      <c r="L915" s="298"/>
      <c r="M915" s="298">
        <f t="shared" si="253"/>
        <v>0</v>
      </c>
      <c r="N915" s="16"/>
      <c r="O915" s="104"/>
      <c r="Q915" s="281"/>
      <c r="R915" s="281"/>
      <c r="S915" s="281"/>
      <c r="T915" s="281"/>
      <c r="U915" s="281"/>
    </row>
    <row r="916" spans="1:21" x14ac:dyDescent="0.3">
      <c r="A916" s="347" t="str">
        <f t="shared" si="252"/>
        <v>Exclude</v>
      </c>
      <c r="D916" s="425" t="s">
        <v>1330</v>
      </c>
      <c r="E916" s="36" t="s">
        <v>388</v>
      </c>
      <c r="F916" s="11"/>
      <c r="G916" s="21">
        <f>IF(G913=0,0,IF('Project Info Input'!C86="Diesel",1,0))</f>
        <v>0</v>
      </c>
      <c r="H916" s="11" t="s">
        <v>2</v>
      </c>
      <c r="I916" s="13">
        <v>80000</v>
      </c>
      <c r="J916" s="16">
        <f>G916*I916</f>
        <v>0</v>
      </c>
      <c r="K916" s="304"/>
      <c r="L916" s="298"/>
      <c r="M916" s="298">
        <f t="shared" si="253"/>
        <v>0</v>
      </c>
      <c r="N916" s="16"/>
      <c r="O916" s="104"/>
      <c r="Q916" s="281"/>
      <c r="R916" s="281"/>
      <c r="S916" s="281"/>
      <c r="T916" s="281"/>
      <c r="U916" s="281"/>
    </row>
    <row r="917" spans="1:21" x14ac:dyDescent="0.3">
      <c r="A917" s="347" t="str">
        <f t="shared" si="252"/>
        <v>Exclude</v>
      </c>
      <c r="D917" s="425" t="s">
        <v>1330</v>
      </c>
      <c r="E917" s="36" t="s">
        <v>424</v>
      </c>
      <c r="F917" s="10" t="s">
        <v>1391</v>
      </c>
      <c r="G917" s="21">
        <f>'Project Info Input'!C87</f>
        <v>0</v>
      </c>
      <c r="H917" s="11" t="s">
        <v>0</v>
      </c>
      <c r="I917" s="13">
        <v>200000</v>
      </c>
      <c r="J917" s="16">
        <f>I917*G917</f>
        <v>0</v>
      </c>
      <c r="K917" s="304"/>
      <c r="L917" s="298"/>
      <c r="M917" s="298">
        <f t="shared" si="253"/>
        <v>0</v>
      </c>
      <c r="N917" s="16"/>
      <c r="O917" s="104"/>
      <c r="Q917" s="281"/>
      <c r="R917" s="281"/>
      <c r="S917" s="281"/>
      <c r="T917" s="281"/>
      <c r="U917" s="281"/>
    </row>
    <row r="918" spans="1:21" x14ac:dyDescent="0.3">
      <c r="A918" s="347" t="str">
        <f t="shared" si="252"/>
        <v>Exclude</v>
      </c>
      <c r="D918" s="425" t="s">
        <v>1330</v>
      </c>
      <c r="E918" s="36" t="s">
        <v>1177</v>
      </c>
      <c r="F918" s="11"/>
      <c r="G918" s="21">
        <f>'Project Info Input'!C88</f>
        <v>0</v>
      </c>
      <c r="H918" s="11" t="s">
        <v>0</v>
      </c>
      <c r="I918" s="13">
        <v>70000</v>
      </c>
      <c r="J918" s="16">
        <f>I918*G918</f>
        <v>0</v>
      </c>
      <c r="K918" s="304"/>
      <c r="L918" s="298"/>
      <c r="M918" s="298">
        <f t="shared" si="253"/>
        <v>0</v>
      </c>
      <c r="N918" s="16"/>
      <c r="O918" s="104"/>
      <c r="Q918" s="281"/>
      <c r="R918" s="281"/>
      <c r="S918" s="281"/>
      <c r="T918" s="281"/>
      <c r="U918" s="281"/>
    </row>
    <row r="919" spans="1:21" x14ac:dyDescent="0.3">
      <c r="A919" s="347" t="str">
        <f t="shared" si="252"/>
        <v>Exclude</v>
      </c>
      <c r="D919" s="425" t="s">
        <v>1330</v>
      </c>
      <c r="E919" s="36" t="s">
        <v>422</v>
      </c>
      <c r="F919" s="11"/>
      <c r="G919" s="21">
        <f>'Project Info Input'!C89</f>
        <v>0</v>
      </c>
      <c r="H919" s="11" t="s">
        <v>1</v>
      </c>
      <c r="I919" s="13">
        <v>2.5</v>
      </c>
      <c r="J919" s="16">
        <f t="shared" ref="J919" si="256">G919*I919</f>
        <v>0</v>
      </c>
      <c r="K919" s="304"/>
      <c r="L919" s="298"/>
      <c r="M919" s="298">
        <f t="shared" si="253"/>
        <v>0</v>
      </c>
      <c r="N919" s="16"/>
      <c r="O919" s="104"/>
      <c r="Q919" s="281"/>
      <c r="R919" s="281"/>
      <c r="S919" s="281"/>
      <c r="T919" s="281"/>
      <c r="U919" s="281"/>
    </row>
    <row r="920" spans="1:21" x14ac:dyDescent="0.3">
      <c r="A920" s="347" t="str">
        <f t="shared" si="252"/>
        <v>Exclude</v>
      </c>
      <c r="D920" s="425" t="s">
        <v>1330</v>
      </c>
      <c r="E920" s="36" t="s">
        <v>1279</v>
      </c>
      <c r="F920" s="11"/>
      <c r="G920" s="21"/>
      <c r="H920" s="11" t="s">
        <v>0</v>
      </c>
      <c r="I920" s="13">
        <v>20000</v>
      </c>
      <c r="J920" s="16">
        <f t="shared" ref="J920:J921" si="257">G920*I920</f>
        <v>0</v>
      </c>
      <c r="K920" s="304"/>
      <c r="L920" s="298"/>
      <c r="M920" s="298">
        <f t="shared" ref="M920:M921" si="258">IF(K920="x","Included in Sub Bid",J920)</f>
        <v>0</v>
      </c>
      <c r="N920" s="16"/>
      <c r="O920" s="104"/>
      <c r="Q920" s="281"/>
      <c r="R920" s="281"/>
      <c r="S920" s="281"/>
      <c r="T920" s="281"/>
      <c r="U920" s="281"/>
    </row>
    <row r="921" spans="1:21" x14ac:dyDescent="0.3">
      <c r="A921" s="347" t="str">
        <f>A918</f>
        <v>Exclude</v>
      </c>
      <c r="D921" s="425" t="s">
        <v>1330</v>
      </c>
      <c r="E921" s="36" t="s">
        <v>1280</v>
      </c>
      <c r="F921" s="11"/>
      <c r="G921" s="21"/>
      <c r="H921" s="11" t="s">
        <v>1</v>
      </c>
      <c r="I921" s="13">
        <v>1.75</v>
      </c>
      <c r="J921" s="16">
        <f t="shared" si="257"/>
        <v>0</v>
      </c>
      <c r="K921" s="304"/>
      <c r="L921" s="298"/>
      <c r="M921" s="298">
        <f t="shared" si="258"/>
        <v>0</v>
      </c>
      <c r="N921" s="16"/>
      <c r="O921" s="104"/>
      <c r="Q921" s="281"/>
      <c r="R921" s="281"/>
      <c r="S921" s="281"/>
      <c r="T921" s="281"/>
      <c r="U921" s="281"/>
    </row>
    <row r="922" spans="1:21" x14ac:dyDescent="0.3">
      <c r="A922" s="347" t="str">
        <f>A919</f>
        <v>Exclude</v>
      </c>
      <c r="D922" s="425" t="s">
        <v>1330</v>
      </c>
      <c r="E922" s="36" t="s">
        <v>1276</v>
      </c>
      <c r="F922" s="11"/>
      <c r="G922" s="21"/>
      <c r="H922" s="11" t="s">
        <v>2</v>
      </c>
      <c r="I922" s="13">
        <v>25000</v>
      </c>
      <c r="J922" s="16">
        <f t="shared" ref="J922:J925" si="259">G922*I922</f>
        <v>0</v>
      </c>
      <c r="K922" s="304"/>
      <c r="L922" s="298"/>
      <c r="M922" s="298">
        <f t="shared" si="253"/>
        <v>0</v>
      </c>
      <c r="N922" s="16"/>
      <c r="O922" s="104"/>
      <c r="Q922" s="281"/>
      <c r="R922" s="281"/>
      <c r="S922" s="281"/>
      <c r="T922" s="281"/>
      <c r="U922" s="281"/>
    </row>
    <row r="923" spans="1:21" x14ac:dyDescent="0.3">
      <c r="A923" s="347" t="str">
        <f t="shared" si="252"/>
        <v>Exclude</v>
      </c>
      <c r="D923" s="425" t="s">
        <v>1330</v>
      </c>
      <c r="E923" s="36" t="s">
        <v>1277</v>
      </c>
      <c r="F923" s="11"/>
      <c r="G923" s="21"/>
      <c r="H923" s="11" t="s">
        <v>1</v>
      </c>
      <c r="I923" s="13">
        <v>5</v>
      </c>
      <c r="J923" s="16">
        <f t="shared" si="259"/>
        <v>0</v>
      </c>
      <c r="K923" s="304"/>
      <c r="L923" s="298"/>
      <c r="M923" s="298">
        <f t="shared" si="253"/>
        <v>0</v>
      </c>
      <c r="N923" s="16"/>
      <c r="O923" s="104"/>
      <c r="Q923" s="281"/>
      <c r="R923" s="281"/>
      <c r="S923" s="281"/>
      <c r="T923" s="281"/>
      <c r="U923" s="281"/>
    </row>
    <row r="924" spans="1:21" x14ac:dyDescent="0.3">
      <c r="A924" s="347" t="str">
        <f>A922</f>
        <v>Exclude</v>
      </c>
      <c r="D924" s="425" t="s">
        <v>1330</v>
      </c>
      <c r="E924" s="36" t="s">
        <v>496</v>
      </c>
      <c r="F924" s="11"/>
      <c r="G924" s="21"/>
      <c r="H924" s="11" t="s">
        <v>3</v>
      </c>
      <c r="I924" s="13">
        <v>35</v>
      </c>
      <c r="J924" s="16">
        <f t="shared" ref="J924" si="260">G924*I924</f>
        <v>0</v>
      </c>
      <c r="K924" s="304"/>
      <c r="L924" s="298"/>
      <c r="M924" s="298">
        <f t="shared" ref="M924" si="261">IF(K924="x","Included in Sub Bid",J924)</f>
        <v>0</v>
      </c>
      <c r="N924" s="16"/>
      <c r="O924" s="104"/>
      <c r="Q924" s="281"/>
      <c r="R924" s="281"/>
      <c r="S924" s="281"/>
      <c r="T924" s="281"/>
      <c r="U924" s="281"/>
    </row>
    <row r="925" spans="1:21" x14ac:dyDescent="0.3">
      <c r="A925" s="347" t="str">
        <f>A923</f>
        <v>Exclude</v>
      </c>
      <c r="D925" s="425" t="s">
        <v>1330</v>
      </c>
      <c r="E925" s="36" t="s">
        <v>1278</v>
      </c>
      <c r="F925" s="11"/>
      <c r="G925" s="21"/>
      <c r="H925" s="11" t="s">
        <v>2</v>
      </c>
      <c r="I925" s="13">
        <v>1100</v>
      </c>
      <c r="J925" s="16">
        <f t="shared" si="259"/>
        <v>0</v>
      </c>
      <c r="K925" s="304"/>
      <c r="L925" s="298"/>
      <c r="M925" s="298">
        <f t="shared" si="253"/>
        <v>0</v>
      </c>
      <c r="N925" s="16"/>
      <c r="O925" s="104"/>
      <c r="Q925" s="281"/>
      <c r="R925" s="281"/>
      <c r="S925" s="281"/>
      <c r="T925" s="281"/>
      <c r="U925" s="281"/>
    </row>
    <row r="926" spans="1:21" x14ac:dyDescent="0.3">
      <c r="A926" s="347" t="str">
        <f>A925</f>
        <v>Exclude</v>
      </c>
      <c r="D926" s="425" t="s">
        <v>1330</v>
      </c>
      <c r="E926" s="36" t="s">
        <v>1250</v>
      </c>
      <c r="F926" s="11"/>
      <c r="G926" s="21"/>
      <c r="H926" s="11" t="s">
        <v>1</v>
      </c>
      <c r="I926" s="13">
        <v>0.11</v>
      </c>
      <c r="J926" s="16">
        <f t="shared" ref="J926" si="262">G926*I926</f>
        <v>0</v>
      </c>
      <c r="K926" s="304"/>
      <c r="L926" s="298"/>
      <c r="M926" s="298">
        <f t="shared" ref="M926" si="263">IF(K926="x","Included in Sub Bid",J926)</f>
        <v>0</v>
      </c>
      <c r="N926" s="16"/>
      <c r="O926" s="104"/>
      <c r="Q926" s="281"/>
      <c r="R926" s="281"/>
      <c r="S926" s="281"/>
      <c r="T926" s="281"/>
      <c r="U926" s="281"/>
    </row>
    <row r="927" spans="1:21" x14ac:dyDescent="0.3">
      <c r="A927" s="347" t="str">
        <f t="shared" si="252"/>
        <v>Exclude</v>
      </c>
      <c r="D927" s="427" t="s">
        <v>1330</v>
      </c>
      <c r="E927" s="199" t="s">
        <v>943</v>
      </c>
      <c r="F927" s="200"/>
      <c r="G927" s="201"/>
      <c r="H927" s="202" t="s">
        <v>0</v>
      </c>
      <c r="I927" s="203"/>
      <c r="J927" s="203"/>
      <c r="K927" s="304"/>
      <c r="L927" s="302"/>
      <c r="M927" s="302">
        <f>IF(K927="x","Included in Sub Bid",G927*I927)</f>
        <v>0</v>
      </c>
      <c r="N927" s="16"/>
      <c r="O927" s="104"/>
      <c r="Q927" s="281"/>
      <c r="R927" s="281"/>
      <c r="S927" s="281"/>
      <c r="T927" s="281"/>
      <c r="U927" s="281"/>
    </row>
    <row r="928" spans="1:21" x14ac:dyDescent="0.3">
      <c r="A928" s="347" t="str">
        <f t="shared" si="252"/>
        <v>Exclude</v>
      </c>
      <c r="D928" s="427" t="s">
        <v>1330</v>
      </c>
      <c r="E928" s="199" t="s">
        <v>944</v>
      </c>
      <c r="F928" s="200"/>
      <c r="G928" s="201"/>
      <c r="H928" s="202" t="s">
        <v>0</v>
      </c>
      <c r="I928" s="203"/>
      <c r="J928" s="203"/>
      <c r="K928" s="304"/>
      <c r="L928" s="302"/>
      <c r="M928" s="302">
        <f>IF(K928="x","Included in Sub Bid",G928*I928)</f>
        <v>0</v>
      </c>
      <c r="N928" s="16"/>
      <c r="O928" s="104"/>
      <c r="Q928" s="281"/>
      <c r="R928" s="281"/>
      <c r="S928" s="281"/>
      <c r="T928" s="281"/>
      <c r="U928" s="281"/>
    </row>
    <row r="929" spans="1:21" x14ac:dyDescent="0.3">
      <c r="A929" s="347" t="str">
        <f t="shared" si="252"/>
        <v>Exclude</v>
      </c>
      <c r="D929" s="425"/>
      <c r="E929" s="36"/>
      <c r="F929" s="11"/>
      <c r="G929" s="21"/>
      <c r="H929" s="11"/>
      <c r="I929" s="13"/>
      <c r="J929" s="16"/>
      <c r="K929" s="304"/>
      <c r="L929" s="298"/>
      <c r="M929" s="298"/>
      <c r="N929" s="16"/>
      <c r="O929" s="104"/>
      <c r="Q929" s="281"/>
      <c r="R929" s="281"/>
      <c r="S929" s="281"/>
      <c r="T929" s="281"/>
      <c r="U929" s="281"/>
    </row>
    <row r="930" spans="1:21" x14ac:dyDescent="0.3">
      <c r="A930" s="347" t="str">
        <f t="shared" si="252"/>
        <v>Exclude</v>
      </c>
      <c r="D930" s="425"/>
      <c r="E930" s="45"/>
      <c r="F930" s="10"/>
      <c r="G930" s="21"/>
      <c r="H930" s="19"/>
      <c r="I930" s="13"/>
      <c r="J930" s="16"/>
      <c r="K930" s="301"/>
      <c r="L930" s="298"/>
      <c r="M930" s="298"/>
      <c r="N930" s="16"/>
      <c r="O930" s="114"/>
      <c r="Q930" s="281"/>
      <c r="R930" s="281"/>
      <c r="S930" s="281"/>
      <c r="T930" s="281"/>
      <c r="U930" s="281"/>
    </row>
    <row r="931" spans="1:21" ht="15.5" x14ac:dyDescent="0.35">
      <c r="A931" s="347" t="str">
        <f>IF(J931=0,"Exclude","x")</f>
        <v>Exclude</v>
      </c>
      <c r="D931" s="431"/>
      <c r="E931" s="68" t="s">
        <v>643</v>
      </c>
      <c r="F931" s="63"/>
      <c r="G931" s="64"/>
      <c r="H931" s="65"/>
      <c r="I931" s="66"/>
      <c r="J931" s="66">
        <f>SUBTOTAL(9,J932:J988)</f>
        <v>0</v>
      </c>
      <c r="K931" s="438">
        <f>IFERROR(J931/$G$6,0)</f>
        <v>0</v>
      </c>
      <c r="L931" s="311"/>
      <c r="M931" s="66"/>
      <c r="N931" s="66">
        <f>N932+N968</f>
        <v>0</v>
      </c>
      <c r="O931" s="317">
        <f>IFERROR(N931/$G$6,0)</f>
        <v>0</v>
      </c>
      <c r="Q931" s="281"/>
      <c r="R931" s="281"/>
      <c r="S931" s="281"/>
      <c r="T931" s="281"/>
      <c r="U931" s="281"/>
    </row>
    <row r="932" spans="1:21" ht="15.5" x14ac:dyDescent="0.3">
      <c r="A932" s="347" t="str">
        <f>IF(J932=0,"Exclude","x")</f>
        <v>Exclude</v>
      </c>
      <c r="D932" s="424" t="s">
        <v>806</v>
      </c>
      <c r="E932" s="69" t="s">
        <v>746</v>
      </c>
      <c r="F932" s="56"/>
      <c r="G932" s="57"/>
      <c r="H932" s="58"/>
      <c r="I932" s="59"/>
      <c r="J932" s="60">
        <f>SUBTOTAL(9,J933:J967)</f>
        <v>0</v>
      </c>
      <c r="K932" s="59">
        <f>IFERROR(J932/$G$6,0)</f>
        <v>0</v>
      </c>
      <c r="L932" s="309"/>
      <c r="M932" s="60"/>
      <c r="N932" s="59">
        <f>SUM(M933:M967)</f>
        <v>0</v>
      </c>
      <c r="O932" s="435">
        <f>IFERROR(N932/$G$6,0)</f>
        <v>0</v>
      </c>
      <c r="Q932" s="281"/>
      <c r="R932" s="281"/>
      <c r="S932" s="281"/>
      <c r="T932" s="281"/>
      <c r="U932" s="281"/>
    </row>
    <row r="933" spans="1:21" x14ac:dyDescent="0.3">
      <c r="A933" s="347" t="str">
        <f t="shared" ref="A933:A967" si="264">A932</f>
        <v>Exclude</v>
      </c>
      <c r="D933" s="426" t="s">
        <v>1331</v>
      </c>
      <c r="E933" s="39" t="s">
        <v>1203</v>
      </c>
      <c r="F933" s="24"/>
      <c r="G933" s="292"/>
      <c r="H933" s="25"/>
      <c r="I933" s="293"/>
      <c r="J933" s="293"/>
      <c r="K933" s="301"/>
      <c r="L933" s="300">
        <v>0</v>
      </c>
      <c r="M933" s="301">
        <f>L933</f>
        <v>0</v>
      </c>
      <c r="N933" s="293"/>
      <c r="O933" s="294"/>
      <c r="Q933" s="282"/>
      <c r="R933" s="281"/>
      <c r="S933" s="283"/>
      <c r="T933" s="283"/>
      <c r="U933" s="283"/>
    </row>
    <row r="934" spans="1:21" x14ac:dyDescent="0.3">
      <c r="A934" s="347" t="str">
        <f t="shared" si="264"/>
        <v>Exclude</v>
      </c>
      <c r="D934" s="425" t="s">
        <v>1331</v>
      </c>
      <c r="E934" s="44" t="s">
        <v>191</v>
      </c>
      <c r="F934" s="10" t="s">
        <v>255</v>
      </c>
      <c r="G934" s="21"/>
      <c r="H934" s="12" t="s">
        <v>3</v>
      </c>
      <c r="I934" s="13">
        <v>40</v>
      </c>
      <c r="J934" s="16">
        <f>G934*I934</f>
        <v>0</v>
      </c>
      <c r="K934" s="304"/>
      <c r="L934" s="298"/>
      <c r="M934" s="298">
        <f t="shared" ref="M934:M963" si="265">IF(K934="x","Included in Sub Bid",J934)</f>
        <v>0</v>
      </c>
      <c r="N934" s="16"/>
      <c r="O934" s="104"/>
      <c r="Q934" s="281"/>
      <c r="R934" s="281"/>
      <c r="S934" s="281"/>
      <c r="T934" s="281"/>
      <c r="U934" s="281"/>
    </row>
    <row r="935" spans="1:21" x14ac:dyDescent="0.3">
      <c r="A935" s="347" t="str">
        <f t="shared" si="264"/>
        <v>Exclude</v>
      </c>
      <c r="D935" s="425" t="s">
        <v>1331</v>
      </c>
      <c r="E935" s="44" t="s">
        <v>546</v>
      </c>
      <c r="F935" s="10"/>
      <c r="G935" s="21"/>
      <c r="H935" s="12" t="s">
        <v>2</v>
      </c>
      <c r="I935" s="13">
        <v>250</v>
      </c>
      <c r="J935" s="16">
        <f>G935*I935</f>
        <v>0</v>
      </c>
      <c r="K935" s="304"/>
      <c r="L935" s="298"/>
      <c r="M935" s="298">
        <f t="shared" si="265"/>
        <v>0</v>
      </c>
      <c r="N935" s="16"/>
      <c r="O935" s="104"/>
      <c r="Q935" s="281"/>
      <c r="R935" s="281"/>
      <c r="S935" s="281"/>
      <c r="T935" s="281"/>
      <c r="U935" s="281"/>
    </row>
    <row r="936" spans="1:21" x14ac:dyDescent="0.3">
      <c r="A936" s="347" t="str">
        <f t="shared" si="264"/>
        <v>Exclude</v>
      </c>
      <c r="D936" s="425" t="s">
        <v>1331</v>
      </c>
      <c r="E936" s="44" t="s">
        <v>258</v>
      </c>
      <c r="F936" s="10"/>
      <c r="G936" s="21"/>
      <c r="H936" s="12" t="s">
        <v>2</v>
      </c>
      <c r="I936" s="13">
        <v>1800</v>
      </c>
      <c r="J936" s="16">
        <f>G936*I936</f>
        <v>0</v>
      </c>
      <c r="K936" s="304"/>
      <c r="L936" s="298"/>
      <c r="M936" s="298">
        <f t="shared" si="265"/>
        <v>0</v>
      </c>
      <c r="N936" s="16"/>
      <c r="O936" s="104"/>
      <c r="Q936" s="281"/>
      <c r="R936" s="281"/>
      <c r="S936" s="281"/>
      <c r="T936" s="281"/>
      <c r="U936" s="281"/>
    </row>
    <row r="937" spans="1:21" x14ac:dyDescent="0.3">
      <c r="A937" s="347" t="str">
        <f t="shared" si="264"/>
        <v>Exclude</v>
      </c>
      <c r="D937" s="425" t="s">
        <v>1331</v>
      </c>
      <c r="E937" s="44" t="s">
        <v>1392</v>
      </c>
      <c r="F937" s="10" t="s">
        <v>255</v>
      </c>
      <c r="G937" s="21"/>
      <c r="H937" s="12" t="s">
        <v>3</v>
      </c>
      <c r="I937" s="13">
        <v>40</v>
      </c>
      <c r="J937" s="16">
        <f t="shared" ref="J937:J959" si="266">G937*I937</f>
        <v>0</v>
      </c>
      <c r="K937" s="304"/>
      <c r="L937" s="298"/>
      <c r="M937" s="298">
        <f t="shared" si="265"/>
        <v>0</v>
      </c>
      <c r="N937" s="16"/>
      <c r="O937" s="104"/>
      <c r="Q937" s="281"/>
      <c r="R937" s="281"/>
      <c r="S937" s="281"/>
      <c r="T937" s="281"/>
      <c r="U937" s="281"/>
    </row>
    <row r="938" spans="1:21" x14ac:dyDescent="0.3">
      <c r="A938" s="347" t="str">
        <f>A937</f>
        <v>Exclude</v>
      </c>
      <c r="D938" s="425" t="s">
        <v>1331</v>
      </c>
      <c r="E938" s="44" t="s">
        <v>256</v>
      </c>
      <c r="F938" s="10"/>
      <c r="G938" s="21"/>
      <c r="H938" s="12" t="s">
        <v>2</v>
      </c>
      <c r="I938" s="13">
        <v>1000</v>
      </c>
      <c r="J938" s="16">
        <f t="shared" si="266"/>
        <v>0</v>
      </c>
      <c r="K938" s="304"/>
      <c r="L938" s="298"/>
      <c r="M938" s="298">
        <f t="shared" si="265"/>
        <v>0</v>
      </c>
      <c r="N938" s="16"/>
      <c r="O938" s="104"/>
      <c r="Q938" s="281"/>
      <c r="R938" s="281"/>
      <c r="S938" s="281"/>
      <c r="T938" s="281"/>
      <c r="U938" s="281"/>
    </row>
    <row r="939" spans="1:21" x14ac:dyDescent="0.3">
      <c r="A939" s="347" t="str">
        <f t="shared" si="264"/>
        <v>Exclude</v>
      </c>
      <c r="D939" s="425" t="s">
        <v>1331</v>
      </c>
      <c r="E939" s="44" t="s">
        <v>34</v>
      </c>
      <c r="F939" s="10"/>
      <c r="G939" s="21"/>
      <c r="H939" s="12" t="s">
        <v>2</v>
      </c>
      <c r="I939" s="13">
        <v>350</v>
      </c>
      <c r="J939" s="16">
        <f t="shared" si="266"/>
        <v>0</v>
      </c>
      <c r="K939" s="304"/>
      <c r="L939" s="298"/>
      <c r="M939" s="298">
        <f t="shared" si="265"/>
        <v>0</v>
      </c>
      <c r="N939" s="16"/>
      <c r="O939" s="104"/>
      <c r="Q939" s="281"/>
      <c r="R939" s="281"/>
      <c r="S939" s="281"/>
      <c r="T939" s="281"/>
      <c r="U939" s="281"/>
    </row>
    <row r="940" spans="1:21" x14ac:dyDescent="0.3">
      <c r="A940" s="347" t="str">
        <f t="shared" si="264"/>
        <v>Exclude</v>
      </c>
      <c r="D940" s="425" t="s">
        <v>1331</v>
      </c>
      <c r="E940" s="44" t="s">
        <v>23</v>
      </c>
      <c r="F940" s="10"/>
      <c r="G940" s="21"/>
      <c r="H940" s="12" t="s">
        <v>2</v>
      </c>
      <c r="I940" s="13">
        <v>1500</v>
      </c>
      <c r="J940" s="16">
        <f t="shared" ref="J940" si="267">G940*I940</f>
        <v>0</v>
      </c>
      <c r="K940" s="304"/>
      <c r="L940" s="298"/>
      <c r="M940" s="298">
        <f t="shared" si="265"/>
        <v>0</v>
      </c>
      <c r="N940" s="16"/>
      <c r="O940" s="104"/>
      <c r="Q940" s="281"/>
      <c r="R940" s="281"/>
      <c r="S940" s="281"/>
      <c r="T940" s="281"/>
      <c r="U940" s="281"/>
    </row>
    <row r="941" spans="1:21" x14ac:dyDescent="0.3">
      <c r="A941" s="347" t="str">
        <f t="shared" si="264"/>
        <v>Exclude</v>
      </c>
      <c r="D941" s="425" t="s">
        <v>1331</v>
      </c>
      <c r="E941" s="44" t="s">
        <v>257</v>
      </c>
      <c r="F941" s="10"/>
      <c r="G941" s="21"/>
      <c r="H941" s="12" t="s">
        <v>2</v>
      </c>
      <c r="I941" s="13"/>
      <c r="J941" s="16">
        <f t="shared" si="266"/>
        <v>0</v>
      </c>
      <c r="K941" s="304"/>
      <c r="L941" s="298"/>
      <c r="M941" s="298">
        <f t="shared" si="265"/>
        <v>0</v>
      </c>
      <c r="N941" s="16"/>
      <c r="O941" s="104"/>
      <c r="Q941" s="281"/>
      <c r="R941" s="281"/>
      <c r="S941" s="281"/>
      <c r="T941" s="281"/>
      <c r="U941" s="281"/>
    </row>
    <row r="942" spans="1:21" x14ac:dyDescent="0.3">
      <c r="A942" s="347" t="str">
        <f t="shared" si="264"/>
        <v>Exclude</v>
      </c>
      <c r="D942" s="425" t="s">
        <v>1331</v>
      </c>
      <c r="E942" s="44" t="s">
        <v>417</v>
      </c>
      <c r="F942" s="10"/>
      <c r="G942" s="21"/>
      <c r="H942" s="12" t="s">
        <v>2</v>
      </c>
      <c r="I942" s="13">
        <v>5500</v>
      </c>
      <c r="J942" s="16">
        <f t="shared" si="266"/>
        <v>0</v>
      </c>
      <c r="K942" s="304"/>
      <c r="L942" s="298"/>
      <c r="M942" s="298">
        <f t="shared" si="265"/>
        <v>0</v>
      </c>
      <c r="N942" s="16"/>
      <c r="O942" s="104"/>
      <c r="Q942" s="281"/>
      <c r="R942" s="281"/>
      <c r="S942" s="281"/>
      <c r="T942" s="281"/>
      <c r="U942" s="281"/>
    </row>
    <row r="943" spans="1:21" x14ac:dyDescent="0.3">
      <c r="A943" s="347" t="str">
        <f t="shared" si="264"/>
        <v>Exclude</v>
      </c>
      <c r="D943" s="425" t="s">
        <v>1331</v>
      </c>
      <c r="E943" s="44" t="s">
        <v>259</v>
      </c>
      <c r="F943" s="10"/>
      <c r="G943" s="21"/>
      <c r="H943" s="12" t="s">
        <v>2</v>
      </c>
      <c r="I943" s="13">
        <v>7500</v>
      </c>
      <c r="J943" s="16">
        <f t="shared" si="266"/>
        <v>0</v>
      </c>
      <c r="K943" s="304"/>
      <c r="L943" s="298"/>
      <c r="M943" s="298">
        <f t="shared" si="265"/>
        <v>0</v>
      </c>
      <c r="N943" s="16"/>
      <c r="O943" s="104"/>
      <c r="Q943" s="281"/>
      <c r="R943" s="281"/>
      <c r="S943" s="281"/>
      <c r="T943" s="281"/>
      <c r="U943" s="281"/>
    </row>
    <row r="944" spans="1:21" x14ac:dyDescent="0.3">
      <c r="A944" s="347" t="str">
        <f t="shared" si="264"/>
        <v>Exclude</v>
      </c>
      <c r="D944" s="425" t="s">
        <v>1331</v>
      </c>
      <c r="E944" s="44" t="s">
        <v>1180</v>
      </c>
      <c r="F944" s="10"/>
      <c r="G944" s="21"/>
      <c r="H944" s="12" t="s">
        <v>3</v>
      </c>
      <c r="I944" s="13">
        <v>22</v>
      </c>
      <c r="J944" s="16">
        <f t="shared" si="266"/>
        <v>0</v>
      </c>
      <c r="K944" s="304"/>
      <c r="L944" s="298"/>
      <c r="M944" s="298">
        <f t="shared" si="265"/>
        <v>0</v>
      </c>
      <c r="N944" s="16"/>
      <c r="O944" s="104"/>
      <c r="Q944" s="281"/>
      <c r="R944" s="281"/>
      <c r="S944" s="281"/>
      <c r="T944" s="281"/>
      <c r="U944" s="281"/>
    </row>
    <row r="945" spans="1:21" x14ac:dyDescent="0.3">
      <c r="A945" s="347" t="str">
        <f t="shared" si="264"/>
        <v>Exclude</v>
      </c>
      <c r="D945" s="425" t="s">
        <v>1331</v>
      </c>
      <c r="E945" s="44" t="s">
        <v>1181</v>
      </c>
      <c r="F945" s="10"/>
      <c r="G945" s="21"/>
      <c r="H945" s="12" t="s">
        <v>3</v>
      </c>
      <c r="I945" s="13">
        <v>25</v>
      </c>
      <c r="J945" s="16">
        <f t="shared" ref="J945" si="268">G945*I945</f>
        <v>0</v>
      </c>
      <c r="K945" s="304"/>
      <c r="L945" s="298"/>
      <c r="M945" s="298">
        <f t="shared" si="265"/>
        <v>0</v>
      </c>
      <c r="N945" s="16"/>
      <c r="O945" s="104"/>
      <c r="Q945" s="281"/>
      <c r="R945" s="281"/>
      <c r="S945" s="281"/>
      <c r="T945" s="281"/>
      <c r="U945" s="281"/>
    </row>
    <row r="946" spans="1:21" x14ac:dyDescent="0.3">
      <c r="A946" s="347" t="str">
        <f t="shared" si="264"/>
        <v>Exclude</v>
      </c>
      <c r="D946" s="425" t="s">
        <v>1331</v>
      </c>
      <c r="E946" s="44" t="s">
        <v>260</v>
      </c>
      <c r="F946" s="10"/>
      <c r="G946" s="21"/>
      <c r="H946" s="12" t="s">
        <v>2</v>
      </c>
      <c r="I946" s="13"/>
      <c r="J946" s="16">
        <f t="shared" si="266"/>
        <v>0</v>
      </c>
      <c r="K946" s="304"/>
      <c r="L946" s="298"/>
      <c r="M946" s="298">
        <f t="shared" si="265"/>
        <v>0</v>
      </c>
      <c r="N946" s="16"/>
      <c r="O946" s="104"/>
      <c r="Q946" s="281"/>
      <c r="R946" s="281"/>
      <c r="S946" s="281"/>
      <c r="T946" s="281"/>
      <c r="U946" s="281"/>
    </row>
    <row r="947" spans="1:21" x14ac:dyDescent="0.3">
      <c r="A947" s="347" t="str">
        <f t="shared" si="264"/>
        <v>Exclude</v>
      </c>
      <c r="D947" s="425" t="s">
        <v>1331</v>
      </c>
      <c r="E947" s="44" t="s">
        <v>261</v>
      </c>
      <c r="F947" s="10"/>
      <c r="G947" s="21"/>
      <c r="H947" s="12" t="s">
        <v>2</v>
      </c>
      <c r="I947" s="13"/>
      <c r="J947" s="16">
        <f t="shared" si="266"/>
        <v>0</v>
      </c>
      <c r="K947" s="304"/>
      <c r="L947" s="298"/>
      <c r="M947" s="298">
        <f t="shared" si="265"/>
        <v>0</v>
      </c>
      <c r="N947" s="16"/>
      <c r="O947" s="104"/>
      <c r="Q947" s="281"/>
      <c r="R947" s="281"/>
      <c r="S947" s="281"/>
      <c r="T947" s="281"/>
      <c r="U947" s="281"/>
    </row>
    <row r="948" spans="1:21" x14ac:dyDescent="0.3">
      <c r="A948" s="347" t="str">
        <f t="shared" si="264"/>
        <v>Exclude</v>
      </c>
      <c r="D948" s="425" t="s">
        <v>1331</v>
      </c>
      <c r="E948" s="44" t="s">
        <v>262</v>
      </c>
      <c r="F948" s="10"/>
      <c r="G948" s="21"/>
      <c r="H948" s="12" t="s">
        <v>2</v>
      </c>
      <c r="I948" s="13"/>
      <c r="J948" s="16">
        <f t="shared" si="266"/>
        <v>0</v>
      </c>
      <c r="K948" s="304"/>
      <c r="L948" s="298"/>
      <c r="M948" s="298">
        <f t="shared" si="265"/>
        <v>0</v>
      </c>
      <c r="N948" s="16"/>
      <c r="O948" s="104"/>
      <c r="Q948" s="281"/>
      <c r="R948" s="281"/>
      <c r="S948" s="281"/>
      <c r="T948" s="281"/>
      <c r="U948" s="281"/>
    </row>
    <row r="949" spans="1:21" x14ac:dyDescent="0.3">
      <c r="A949" s="347" t="str">
        <f t="shared" si="264"/>
        <v>Exclude</v>
      </c>
      <c r="D949" s="425" t="s">
        <v>1331</v>
      </c>
      <c r="E949" s="44" t="s">
        <v>345</v>
      </c>
      <c r="F949" s="10"/>
      <c r="G949" s="21"/>
      <c r="H949" s="12" t="s">
        <v>2</v>
      </c>
      <c r="I949" s="13"/>
      <c r="J949" s="16">
        <f t="shared" si="266"/>
        <v>0</v>
      </c>
      <c r="K949" s="304"/>
      <c r="L949" s="298"/>
      <c r="M949" s="298">
        <f t="shared" si="265"/>
        <v>0</v>
      </c>
      <c r="N949" s="16"/>
      <c r="O949" s="104"/>
      <c r="Q949" s="281"/>
      <c r="R949" s="281"/>
      <c r="S949" s="281"/>
      <c r="T949" s="281"/>
      <c r="U949" s="281"/>
    </row>
    <row r="950" spans="1:21" x14ac:dyDescent="0.3">
      <c r="A950" s="347" t="str">
        <f t="shared" si="264"/>
        <v>Exclude</v>
      </c>
      <c r="D950" s="425" t="s">
        <v>1331</v>
      </c>
      <c r="E950" s="44" t="s">
        <v>420</v>
      </c>
      <c r="F950" s="10"/>
      <c r="G950" s="21"/>
      <c r="H950" s="12" t="s">
        <v>2</v>
      </c>
      <c r="I950" s="13"/>
      <c r="J950" s="16">
        <f t="shared" si="266"/>
        <v>0</v>
      </c>
      <c r="K950" s="304"/>
      <c r="L950" s="298"/>
      <c r="M950" s="298">
        <f t="shared" si="265"/>
        <v>0</v>
      </c>
      <c r="N950" s="16"/>
      <c r="O950" s="114"/>
      <c r="Q950" s="281"/>
      <c r="R950" s="281"/>
      <c r="S950" s="281"/>
      <c r="T950" s="281"/>
      <c r="U950" s="281"/>
    </row>
    <row r="951" spans="1:21" x14ac:dyDescent="0.3">
      <c r="A951" s="347" t="str">
        <f t="shared" si="264"/>
        <v>Exclude</v>
      </c>
      <c r="D951" s="425" t="s">
        <v>1331</v>
      </c>
      <c r="E951" s="44" t="s">
        <v>421</v>
      </c>
      <c r="F951" s="10"/>
      <c r="G951" s="21"/>
      <c r="H951" s="12" t="s">
        <v>2</v>
      </c>
      <c r="I951" s="13"/>
      <c r="J951" s="16">
        <f t="shared" si="266"/>
        <v>0</v>
      </c>
      <c r="K951" s="304"/>
      <c r="L951" s="298"/>
      <c r="M951" s="298">
        <f t="shared" si="265"/>
        <v>0</v>
      </c>
      <c r="N951" s="16"/>
      <c r="O951" s="114"/>
      <c r="Q951" s="281"/>
      <c r="R951" s="281"/>
      <c r="S951" s="281"/>
      <c r="T951" s="281"/>
      <c r="U951" s="281"/>
    </row>
    <row r="952" spans="1:21" x14ac:dyDescent="0.3">
      <c r="A952" s="347" t="str">
        <f t="shared" si="264"/>
        <v>Exclude</v>
      </c>
      <c r="D952" s="425" t="s">
        <v>1331</v>
      </c>
      <c r="E952" s="44" t="s">
        <v>792</v>
      </c>
      <c r="F952" s="10"/>
      <c r="G952" s="21"/>
      <c r="H952" s="12" t="s">
        <v>3</v>
      </c>
      <c r="I952" s="13">
        <v>125</v>
      </c>
      <c r="J952" s="16">
        <f t="shared" ref="J952" si="269">G952*I952</f>
        <v>0</v>
      </c>
      <c r="K952" s="304"/>
      <c r="L952" s="298"/>
      <c r="M952" s="298">
        <f t="shared" si="265"/>
        <v>0</v>
      </c>
      <c r="N952" s="16"/>
      <c r="O952" s="114"/>
      <c r="Q952" s="281"/>
      <c r="R952" s="281"/>
      <c r="S952" s="281"/>
      <c r="T952" s="281"/>
      <c r="U952" s="281"/>
    </row>
    <row r="953" spans="1:21" x14ac:dyDescent="0.3">
      <c r="A953" s="347" t="str">
        <f t="shared" si="264"/>
        <v>Exclude</v>
      </c>
      <c r="D953" s="425" t="s">
        <v>1331</v>
      </c>
      <c r="E953" s="44" t="s">
        <v>408</v>
      </c>
      <c r="F953" s="10"/>
      <c r="G953" s="21"/>
      <c r="H953" s="12" t="s">
        <v>0</v>
      </c>
      <c r="I953" s="13"/>
      <c r="J953" s="16">
        <f t="shared" si="266"/>
        <v>0</v>
      </c>
      <c r="K953" s="304"/>
      <c r="L953" s="298"/>
      <c r="M953" s="298">
        <f t="shared" si="265"/>
        <v>0</v>
      </c>
      <c r="N953" s="16"/>
      <c r="O953" s="104"/>
      <c r="Q953" s="281"/>
      <c r="R953" s="281"/>
      <c r="S953" s="281"/>
      <c r="T953" s="281"/>
      <c r="U953" s="281"/>
    </row>
    <row r="954" spans="1:21" x14ac:dyDescent="0.3">
      <c r="A954" s="347" t="str">
        <f t="shared" si="264"/>
        <v>Exclude</v>
      </c>
      <c r="D954" s="425" t="s">
        <v>1331</v>
      </c>
      <c r="E954" s="47" t="s">
        <v>409</v>
      </c>
      <c r="F954" s="10"/>
      <c r="G954" s="21"/>
      <c r="H954" s="12" t="s">
        <v>3</v>
      </c>
      <c r="I954" s="13"/>
      <c r="J954" s="16">
        <f t="shared" si="266"/>
        <v>0</v>
      </c>
      <c r="K954" s="304"/>
      <c r="L954" s="298"/>
      <c r="M954" s="298">
        <f t="shared" si="265"/>
        <v>0</v>
      </c>
      <c r="N954" s="16"/>
      <c r="O954" s="104"/>
      <c r="Q954" s="281"/>
      <c r="R954" s="281"/>
      <c r="S954" s="281"/>
      <c r="T954" s="281"/>
      <c r="U954" s="281"/>
    </row>
    <row r="955" spans="1:21" x14ac:dyDescent="0.3">
      <c r="A955" s="347" t="str">
        <f t="shared" si="264"/>
        <v>Exclude</v>
      </c>
      <c r="D955" s="425" t="s">
        <v>1331</v>
      </c>
      <c r="E955" s="47" t="s">
        <v>410</v>
      </c>
      <c r="F955" s="10"/>
      <c r="G955" s="21"/>
      <c r="H955" s="12" t="s">
        <v>2</v>
      </c>
      <c r="I955" s="13"/>
      <c r="J955" s="16">
        <f t="shared" si="266"/>
        <v>0</v>
      </c>
      <c r="K955" s="304"/>
      <c r="L955" s="298"/>
      <c r="M955" s="298">
        <f t="shared" si="265"/>
        <v>0</v>
      </c>
      <c r="N955" s="16"/>
      <c r="O955" s="104"/>
      <c r="Q955" s="281"/>
      <c r="R955" s="281"/>
      <c r="S955" s="281"/>
      <c r="T955" s="281"/>
      <c r="U955" s="281"/>
    </row>
    <row r="956" spans="1:21" x14ac:dyDescent="0.3">
      <c r="A956" s="347" t="str">
        <f t="shared" si="264"/>
        <v>Exclude</v>
      </c>
      <c r="D956" s="425" t="s">
        <v>1331</v>
      </c>
      <c r="E956" s="47" t="s">
        <v>392</v>
      </c>
      <c r="F956" s="10"/>
      <c r="G956" s="21"/>
      <c r="H956" s="12" t="s">
        <v>2</v>
      </c>
      <c r="I956" s="13"/>
      <c r="J956" s="16">
        <f t="shared" si="266"/>
        <v>0</v>
      </c>
      <c r="K956" s="304"/>
      <c r="L956" s="298"/>
      <c r="M956" s="298">
        <f t="shared" si="265"/>
        <v>0</v>
      </c>
      <c r="N956" s="16"/>
      <c r="O956" s="104"/>
      <c r="Q956" s="281"/>
      <c r="R956" s="281"/>
      <c r="S956" s="281"/>
      <c r="T956" s="281"/>
      <c r="U956" s="281"/>
    </row>
    <row r="957" spans="1:21" x14ac:dyDescent="0.3">
      <c r="A957" s="347" t="str">
        <f t="shared" si="264"/>
        <v>Exclude</v>
      </c>
      <c r="D957" s="425" t="s">
        <v>1331</v>
      </c>
      <c r="E957" s="47" t="s">
        <v>427</v>
      </c>
      <c r="F957" s="10"/>
      <c r="G957" s="21"/>
      <c r="H957" s="12" t="s">
        <v>2</v>
      </c>
      <c r="I957" s="13"/>
      <c r="J957" s="16">
        <f t="shared" si="266"/>
        <v>0</v>
      </c>
      <c r="K957" s="304"/>
      <c r="L957" s="298"/>
      <c r="M957" s="298">
        <f t="shared" si="265"/>
        <v>0</v>
      </c>
      <c r="N957" s="16"/>
      <c r="O957" s="104"/>
      <c r="Q957" s="281"/>
      <c r="R957" s="281"/>
      <c r="S957" s="281"/>
      <c r="T957" s="281"/>
      <c r="U957" s="281"/>
    </row>
    <row r="958" spans="1:21" x14ac:dyDescent="0.3">
      <c r="A958" s="347" t="str">
        <f t="shared" si="264"/>
        <v>Exclude</v>
      </c>
      <c r="D958" s="425" t="s">
        <v>1331</v>
      </c>
      <c r="E958" s="47" t="s">
        <v>428</v>
      </c>
      <c r="F958" s="10"/>
      <c r="G958" s="21"/>
      <c r="H958" s="12" t="s">
        <v>2</v>
      </c>
      <c r="I958" s="13"/>
      <c r="J958" s="16">
        <f t="shared" si="266"/>
        <v>0</v>
      </c>
      <c r="K958" s="304"/>
      <c r="L958" s="298"/>
      <c r="M958" s="298">
        <f t="shared" si="265"/>
        <v>0</v>
      </c>
      <c r="N958" s="16"/>
      <c r="O958" s="104"/>
      <c r="Q958" s="281"/>
      <c r="R958" s="281"/>
      <c r="S958" s="281"/>
      <c r="T958" s="281"/>
      <c r="U958" s="281"/>
    </row>
    <row r="959" spans="1:21" x14ac:dyDescent="0.3">
      <c r="A959" s="347" t="str">
        <f t="shared" si="264"/>
        <v>Exclude</v>
      </c>
      <c r="D959" s="425" t="s">
        <v>1331</v>
      </c>
      <c r="E959" s="44" t="s">
        <v>234</v>
      </c>
      <c r="F959" s="10"/>
      <c r="G959" s="21"/>
      <c r="H959" s="12"/>
      <c r="I959" s="13"/>
      <c r="J959" s="16">
        <f t="shared" si="266"/>
        <v>0</v>
      </c>
      <c r="K959" s="304"/>
      <c r="L959" s="298"/>
      <c r="M959" s="298">
        <f t="shared" si="265"/>
        <v>0</v>
      </c>
      <c r="N959" s="16"/>
      <c r="O959" s="104"/>
      <c r="Q959" s="281"/>
      <c r="R959" s="281"/>
      <c r="S959" s="281"/>
      <c r="T959" s="281"/>
      <c r="U959" s="281"/>
    </row>
    <row r="960" spans="1:21" x14ac:dyDescent="0.3">
      <c r="A960" s="347" t="str">
        <f t="shared" si="264"/>
        <v>Exclude</v>
      </c>
      <c r="D960" s="425" t="s">
        <v>1331</v>
      </c>
      <c r="E960" s="47" t="s">
        <v>409</v>
      </c>
      <c r="F960" s="10"/>
      <c r="G960" s="21"/>
      <c r="H960" s="12" t="s">
        <v>3</v>
      </c>
      <c r="I960" s="13"/>
      <c r="J960" s="16">
        <f>+I960*G960</f>
        <v>0</v>
      </c>
      <c r="K960" s="304"/>
      <c r="L960" s="298"/>
      <c r="M960" s="298">
        <f t="shared" si="265"/>
        <v>0</v>
      </c>
      <c r="N960" s="16"/>
      <c r="O960" s="104"/>
      <c r="Q960" s="281"/>
      <c r="R960" s="281"/>
      <c r="S960" s="281"/>
      <c r="T960" s="281"/>
      <c r="U960" s="281"/>
    </row>
    <row r="961" spans="1:21" x14ac:dyDescent="0.3">
      <c r="A961" s="347" t="str">
        <f t="shared" si="264"/>
        <v>Exclude</v>
      </c>
      <c r="D961" s="425" t="s">
        <v>1331</v>
      </c>
      <c r="E961" s="47" t="s">
        <v>410</v>
      </c>
      <c r="F961" s="10"/>
      <c r="G961" s="21"/>
      <c r="H961" s="12" t="s">
        <v>2</v>
      </c>
      <c r="I961" s="13"/>
      <c r="J961" s="16">
        <f t="shared" ref="J961:J963" si="270">+I961*G961</f>
        <v>0</v>
      </c>
      <c r="K961" s="304"/>
      <c r="L961" s="298"/>
      <c r="M961" s="298">
        <f t="shared" si="265"/>
        <v>0</v>
      </c>
      <c r="N961" s="16"/>
      <c r="O961" s="104"/>
      <c r="Q961" s="281"/>
      <c r="R961" s="281"/>
      <c r="S961" s="281"/>
      <c r="T961" s="281"/>
      <c r="U961" s="281"/>
    </row>
    <row r="962" spans="1:21" x14ac:dyDescent="0.3">
      <c r="A962" s="347" t="str">
        <f t="shared" si="264"/>
        <v>Exclude</v>
      </c>
      <c r="D962" s="425" t="s">
        <v>1331</v>
      </c>
      <c r="E962" s="47" t="s">
        <v>463</v>
      </c>
      <c r="F962" s="10"/>
      <c r="G962" s="21"/>
      <c r="H962" s="12" t="s">
        <v>20</v>
      </c>
      <c r="I962" s="13"/>
      <c r="J962" s="16">
        <f t="shared" si="270"/>
        <v>0</v>
      </c>
      <c r="K962" s="304"/>
      <c r="L962" s="298"/>
      <c r="M962" s="298">
        <f t="shared" si="265"/>
        <v>0</v>
      </c>
      <c r="N962" s="16"/>
      <c r="O962" s="104"/>
      <c r="Q962" s="281"/>
      <c r="R962" s="281"/>
      <c r="S962" s="281"/>
      <c r="T962" s="281"/>
      <c r="U962" s="281"/>
    </row>
    <row r="963" spans="1:21" x14ac:dyDescent="0.3">
      <c r="A963" s="347" t="str">
        <f t="shared" si="264"/>
        <v>Exclude</v>
      </c>
      <c r="D963" s="425" t="s">
        <v>1331</v>
      </c>
      <c r="E963" s="47" t="s">
        <v>464</v>
      </c>
      <c r="F963" s="10"/>
      <c r="G963" s="21"/>
      <c r="H963" s="12" t="s">
        <v>2</v>
      </c>
      <c r="I963" s="13"/>
      <c r="J963" s="16">
        <f t="shared" si="270"/>
        <v>0</v>
      </c>
      <c r="K963" s="304"/>
      <c r="L963" s="298"/>
      <c r="M963" s="298">
        <f t="shared" si="265"/>
        <v>0</v>
      </c>
      <c r="N963" s="16"/>
      <c r="O963" s="104"/>
      <c r="Q963" s="281"/>
      <c r="R963" s="281"/>
      <c r="S963" s="281"/>
      <c r="T963" s="281"/>
      <c r="U963" s="281"/>
    </row>
    <row r="964" spans="1:21" x14ac:dyDescent="0.3">
      <c r="A964" s="347" t="str">
        <f t="shared" si="264"/>
        <v>Exclude</v>
      </c>
      <c r="D964" s="427" t="s">
        <v>1331</v>
      </c>
      <c r="E964" s="199" t="s">
        <v>943</v>
      </c>
      <c r="F964" s="200"/>
      <c r="G964" s="201"/>
      <c r="H964" s="202" t="s">
        <v>0</v>
      </c>
      <c r="I964" s="203"/>
      <c r="J964" s="203"/>
      <c r="K964" s="304"/>
      <c r="L964" s="302"/>
      <c r="M964" s="302">
        <f>IF(K964="x","Included in Sub Bid",G964*I964)</f>
        <v>0</v>
      </c>
      <c r="N964" s="16"/>
      <c r="O964" s="104"/>
      <c r="Q964" s="281"/>
      <c r="R964" s="281"/>
      <c r="S964" s="281"/>
      <c r="T964" s="281"/>
      <c r="U964" s="281"/>
    </row>
    <row r="965" spans="1:21" x14ac:dyDescent="0.3">
      <c r="A965" s="347" t="str">
        <f t="shared" si="264"/>
        <v>Exclude</v>
      </c>
      <c r="D965" s="427" t="s">
        <v>1331</v>
      </c>
      <c r="E965" s="199" t="s">
        <v>944</v>
      </c>
      <c r="F965" s="200"/>
      <c r="G965" s="201"/>
      <c r="H965" s="202" t="s">
        <v>0</v>
      </c>
      <c r="I965" s="203"/>
      <c r="J965" s="203"/>
      <c r="K965" s="304"/>
      <c r="L965" s="302"/>
      <c r="M965" s="302">
        <f>IF(K965="x","Included in Sub Bid",G965*I965)</f>
        <v>0</v>
      </c>
      <c r="N965" s="16"/>
      <c r="O965" s="104"/>
      <c r="Q965" s="281"/>
      <c r="R965" s="281"/>
      <c r="S965" s="281"/>
      <c r="T965" s="281"/>
      <c r="U965" s="281"/>
    </row>
    <row r="966" spans="1:21" x14ac:dyDescent="0.3">
      <c r="A966" s="347" t="str">
        <f t="shared" si="264"/>
        <v>Exclude</v>
      </c>
      <c r="D966" s="425"/>
      <c r="E966" s="44"/>
      <c r="F966" s="10"/>
      <c r="G966" s="21"/>
      <c r="H966" s="12"/>
      <c r="I966" s="13"/>
      <c r="J966" s="16"/>
      <c r="K966" s="304"/>
      <c r="L966" s="298"/>
      <c r="M966" s="298"/>
      <c r="N966" s="16"/>
      <c r="O966" s="104"/>
      <c r="Q966" s="281"/>
      <c r="R966" s="281"/>
      <c r="S966" s="281"/>
      <c r="T966" s="281"/>
      <c r="U966" s="281"/>
    </row>
    <row r="967" spans="1:21" x14ac:dyDescent="0.3">
      <c r="A967" s="347" t="str">
        <f t="shared" si="264"/>
        <v>Exclude</v>
      </c>
      <c r="D967" s="425"/>
      <c r="E967" s="45"/>
      <c r="F967" s="10"/>
      <c r="G967" s="21"/>
      <c r="H967" s="19"/>
      <c r="I967" s="13"/>
      <c r="J967" s="16"/>
      <c r="K967" s="301"/>
      <c r="L967" s="298"/>
      <c r="M967" s="298"/>
      <c r="N967" s="16"/>
      <c r="O967" s="114"/>
      <c r="Q967" s="281"/>
      <c r="R967" s="281"/>
      <c r="S967" s="281"/>
      <c r="T967" s="281"/>
      <c r="U967" s="281"/>
    </row>
    <row r="968" spans="1:21" ht="15.5" x14ac:dyDescent="0.3">
      <c r="A968" s="347" t="str">
        <f>IF(J968=0,"Exclude","x")</f>
        <v>Exclude</v>
      </c>
      <c r="D968" s="424" t="s">
        <v>806</v>
      </c>
      <c r="E968" s="69" t="s">
        <v>747</v>
      </c>
      <c r="F968" s="56"/>
      <c r="G968" s="57"/>
      <c r="H968" s="58"/>
      <c r="I968" s="59"/>
      <c r="J968" s="60">
        <f>SUBTOTAL(9,J969:J988)</f>
        <v>0</v>
      </c>
      <c r="K968" s="59">
        <f>IFERROR(J968/$G$6,0)</f>
        <v>0</v>
      </c>
      <c r="L968" s="309"/>
      <c r="M968" s="60"/>
      <c r="N968" s="59">
        <f>SUM(M969:M988)</f>
        <v>0</v>
      </c>
      <c r="O968" s="435">
        <f>IFERROR(N968/$G$6,0)</f>
        <v>0</v>
      </c>
      <c r="Q968" s="281"/>
      <c r="R968" s="281"/>
      <c r="S968" s="281"/>
      <c r="T968" s="281"/>
      <c r="U968" s="281"/>
    </row>
    <row r="969" spans="1:21" x14ac:dyDescent="0.3">
      <c r="A969" s="347" t="str">
        <f t="shared" ref="A969:A988" si="271">A968</f>
        <v>Exclude</v>
      </c>
      <c r="D969" s="426" t="s">
        <v>1331</v>
      </c>
      <c r="E969" s="39" t="s">
        <v>1203</v>
      </c>
      <c r="F969" s="24"/>
      <c r="G969" s="292"/>
      <c r="H969" s="25"/>
      <c r="I969" s="293"/>
      <c r="J969" s="293"/>
      <c r="K969" s="301"/>
      <c r="L969" s="300">
        <v>0</v>
      </c>
      <c r="M969" s="301">
        <f>L969</f>
        <v>0</v>
      </c>
      <c r="N969" s="293"/>
      <c r="O969" s="294"/>
      <c r="Q969" s="282"/>
      <c r="R969" s="281"/>
      <c r="S969" s="283"/>
      <c r="T969" s="283"/>
      <c r="U969" s="283"/>
    </row>
    <row r="970" spans="1:21" x14ac:dyDescent="0.3">
      <c r="A970" s="347" t="str">
        <f t="shared" si="271"/>
        <v>Exclude</v>
      </c>
      <c r="D970" s="425" t="s">
        <v>1331</v>
      </c>
      <c r="E970" s="44" t="s">
        <v>191</v>
      </c>
      <c r="F970" s="10" t="s">
        <v>255</v>
      </c>
      <c r="G970" s="21"/>
      <c r="H970" s="12" t="s">
        <v>3</v>
      </c>
      <c r="I970" s="13">
        <v>35</v>
      </c>
      <c r="J970" s="16">
        <f t="shared" ref="J970:J982" si="272">G970*I970</f>
        <v>0</v>
      </c>
      <c r="K970" s="304"/>
      <c r="L970" s="298"/>
      <c r="M970" s="298">
        <f t="shared" ref="M970:M984" si="273">IF(K970="x","Included in Sub Bid",J970)</f>
        <v>0</v>
      </c>
      <c r="N970" s="16"/>
      <c r="O970" s="114"/>
      <c r="Q970" s="281"/>
      <c r="R970" s="281"/>
      <c r="S970" s="281"/>
      <c r="T970" s="281"/>
      <c r="U970" s="281"/>
    </row>
    <row r="971" spans="1:21" x14ac:dyDescent="0.3">
      <c r="A971" s="347" t="str">
        <f t="shared" si="271"/>
        <v>Exclude</v>
      </c>
      <c r="D971" s="425" t="s">
        <v>1331</v>
      </c>
      <c r="E971" s="44" t="s">
        <v>124</v>
      </c>
      <c r="F971" s="10" t="s">
        <v>255</v>
      </c>
      <c r="G971" s="21"/>
      <c r="H971" s="12" t="s">
        <v>3</v>
      </c>
      <c r="I971" s="13">
        <v>35</v>
      </c>
      <c r="J971" s="16">
        <f t="shared" si="272"/>
        <v>0</v>
      </c>
      <c r="K971" s="304"/>
      <c r="L971" s="298"/>
      <c r="M971" s="298">
        <f t="shared" si="273"/>
        <v>0</v>
      </c>
      <c r="N971" s="16"/>
      <c r="O971" s="114"/>
      <c r="Q971" s="281"/>
      <c r="R971" s="281"/>
      <c r="S971" s="281"/>
      <c r="T971" s="281"/>
      <c r="U971" s="281"/>
    </row>
    <row r="972" spans="1:21" x14ac:dyDescent="0.3">
      <c r="A972" s="347" t="str">
        <f t="shared" si="271"/>
        <v>Exclude</v>
      </c>
      <c r="D972" s="425" t="s">
        <v>1331</v>
      </c>
      <c r="E972" s="36" t="s">
        <v>279</v>
      </c>
      <c r="F972" s="11"/>
      <c r="G972" s="21"/>
      <c r="H972" s="12" t="s">
        <v>2</v>
      </c>
      <c r="I972" s="13">
        <v>7500</v>
      </c>
      <c r="J972" s="16">
        <f t="shared" si="272"/>
        <v>0</v>
      </c>
      <c r="K972" s="304"/>
      <c r="L972" s="298"/>
      <c r="M972" s="298">
        <f t="shared" si="273"/>
        <v>0</v>
      </c>
      <c r="N972" s="16"/>
      <c r="O972" s="114"/>
      <c r="Q972" s="281"/>
      <c r="R972" s="281"/>
      <c r="S972" s="281"/>
      <c r="T972" s="281"/>
      <c r="U972" s="281"/>
    </row>
    <row r="973" spans="1:21" x14ac:dyDescent="0.3">
      <c r="A973" s="347" t="str">
        <f t="shared" si="271"/>
        <v>Exclude</v>
      </c>
      <c r="D973" s="425" t="s">
        <v>1331</v>
      </c>
      <c r="E973" s="36" t="s">
        <v>374</v>
      </c>
      <c r="F973" s="11"/>
      <c r="G973" s="21"/>
      <c r="H973" s="12" t="s">
        <v>2</v>
      </c>
      <c r="I973" s="13">
        <v>2500</v>
      </c>
      <c r="J973" s="16">
        <f t="shared" si="272"/>
        <v>0</v>
      </c>
      <c r="K973" s="304"/>
      <c r="L973" s="298"/>
      <c r="M973" s="298">
        <f t="shared" si="273"/>
        <v>0</v>
      </c>
      <c r="N973" s="16"/>
      <c r="O973" s="114"/>
      <c r="Q973" s="281"/>
      <c r="R973" s="281"/>
      <c r="S973" s="281"/>
      <c r="T973" s="281"/>
      <c r="U973" s="281"/>
    </row>
    <row r="974" spans="1:21" x14ac:dyDescent="0.3">
      <c r="A974" s="347" t="str">
        <f t="shared" si="271"/>
        <v>Exclude</v>
      </c>
      <c r="D974" s="425" t="s">
        <v>1331</v>
      </c>
      <c r="E974" s="44" t="s">
        <v>260</v>
      </c>
      <c r="F974" s="10"/>
      <c r="G974" s="21"/>
      <c r="H974" s="12" t="s">
        <v>2</v>
      </c>
      <c r="I974" s="13">
        <v>2500</v>
      </c>
      <c r="J974" s="16">
        <f t="shared" si="272"/>
        <v>0</v>
      </c>
      <c r="K974" s="304"/>
      <c r="L974" s="298"/>
      <c r="M974" s="298">
        <f t="shared" si="273"/>
        <v>0</v>
      </c>
      <c r="N974" s="16"/>
      <c r="O974" s="114"/>
      <c r="Q974" s="281"/>
      <c r="R974" s="281"/>
      <c r="S974" s="281"/>
      <c r="T974" s="281"/>
      <c r="U974" s="281"/>
    </row>
    <row r="975" spans="1:21" x14ac:dyDescent="0.3">
      <c r="A975" s="347" t="str">
        <f t="shared" si="271"/>
        <v>Exclude</v>
      </c>
      <c r="D975" s="425" t="s">
        <v>1331</v>
      </c>
      <c r="E975" s="44" t="s">
        <v>261</v>
      </c>
      <c r="F975" s="10"/>
      <c r="G975" s="21"/>
      <c r="H975" s="12" t="s">
        <v>2</v>
      </c>
      <c r="I975" s="13">
        <v>2500</v>
      </c>
      <c r="J975" s="16">
        <f t="shared" si="272"/>
        <v>0</v>
      </c>
      <c r="K975" s="304"/>
      <c r="L975" s="298"/>
      <c r="M975" s="298">
        <f t="shared" si="273"/>
        <v>0</v>
      </c>
      <c r="N975" s="16"/>
      <c r="O975" s="114"/>
      <c r="Q975" s="281"/>
      <c r="R975" s="281"/>
      <c r="S975" s="281"/>
      <c r="T975" s="281"/>
      <c r="U975" s="281"/>
    </row>
    <row r="976" spans="1:21" x14ac:dyDescent="0.3">
      <c r="A976" s="347" t="str">
        <f t="shared" si="271"/>
        <v>Exclude</v>
      </c>
      <c r="D976" s="425" t="s">
        <v>1331</v>
      </c>
      <c r="E976" s="44" t="s">
        <v>262</v>
      </c>
      <c r="F976" s="10"/>
      <c r="G976" s="21"/>
      <c r="H976" s="12" t="s">
        <v>2</v>
      </c>
      <c r="I976" s="13">
        <v>2500</v>
      </c>
      <c r="J976" s="16">
        <f t="shared" si="272"/>
        <v>0</v>
      </c>
      <c r="K976" s="304"/>
      <c r="L976" s="298"/>
      <c r="M976" s="298">
        <f t="shared" si="273"/>
        <v>0</v>
      </c>
      <c r="N976" s="16"/>
      <c r="O976" s="114"/>
      <c r="Q976" s="281"/>
      <c r="R976" s="281"/>
      <c r="S976" s="281"/>
      <c r="T976" s="281"/>
      <c r="U976" s="281"/>
    </row>
    <row r="977" spans="1:21" x14ac:dyDescent="0.3">
      <c r="A977" s="347" t="str">
        <f t="shared" si="271"/>
        <v>Exclude</v>
      </c>
      <c r="D977" s="425" t="s">
        <v>1331</v>
      </c>
      <c r="E977" s="44" t="s">
        <v>476</v>
      </c>
      <c r="F977" s="10"/>
      <c r="G977" s="21"/>
      <c r="H977" s="12" t="s">
        <v>2</v>
      </c>
      <c r="I977" s="13">
        <v>3500</v>
      </c>
      <c r="J977" s="16">
        <f t="shared" ref="J977" si="274">G977*I977</f>
        <v>0</v>
      </c>
      <c r="K977" s="304"/>
      <c r="L977" s="298"/>
      <c r="M977" s="298">
        <f t="shared" si="273"/>
        <v>0</v>
      </c>
      <c r="N977" s="16"/>
      <c r="O977" s="114"/>
      <c r="Q977" s="281"/>
      <c r="R977" s="281"/>
      <c r="S977" s="281"/>
      <c r="T977" s="281"/>
      <c r="U977" s="281"/>
    </row>
    <row r="978" spans="1:21" x14ac:dyDescent="0.3">
      <c r="A978" s="347" t="str">
        <f t="shared" si="271"/>
        <v>Exclude</v>
      </c>
      <c r="D978" s="425" t="s">
        <v>1331</v>
      </c>
      <c r="E978" s="44" t="s">
        <v>263</v>
      </c>
      <c r="F978" s="10"/>
      <c r="G978" s="21"/>
      <c r="H978" s="12" t="s">
        <v>2</v>
      </c>
      <c r="I978" s="13">
        <v>2500</v>
      </c>
      <c r="J978" s="16">
        <f t="shared" si="272"/>
        <v>0</v>
      </c>
      <c r="K978" s="304"/>
      <c r="L978" s="298"/>
      <c r="M978" s="298">
        <f t="shared" si="273"/>
        <v>0</v>
      </c>
      <c r="N978" s="16"/>
      <c r="O978" s="114"/>
      <c r="Q978" s="281"/>
      <c r="R978" s="281"/>
      <c r="S978" s="281"/>
      <c r="T978" s="281"/>
      <c r="U978" s="281"/>
    </row>
    <row r="979" spans="1:21" x14ac:dyDescent="0.3">
      <c r="A979" s="347" t="str">
        <f t="shared" si="271"/>
        <v>Exclude</v>
      </c>
      <c r="D979" s="425" t="s">
        <v>1331</v>
      </c>
      <c r="E979" s="44" t="s">
        <v>264</v>
      </c>
      <c r="F979" s="10"/>
      <c r="G979" s="21"/>
      <c r="H979" s="12" t="s">
        <v>2</v>
      </c>
      <c r="I979" s="13">
        <v>3500</v>
      </c>
      <c r="J979" s="16">
        <f t="shared" si="272"/>
        <v>0</v>
      </c>
      <c r="K979" s="304"/>
      <c r="L979" s="298"/>
      <c r="M979" s="298">
        <f t="shared" si="273"/>
        <v>0</v>
      </c>
      <c r="N979" s="16"/>
      <c r="O979" s="114"/>
      <c r="Q979" s="281"/>
      <c r="R979" s="281"/>
      <c r="S979" s="281"/>
      <c r="T979" s="281"/>
      <c r="U979" s="281"/>
    </row>
    <row r="980" spans="1:21" x14ac:dyDescent="0.3">
      <c r="A980" s="347" t="str">
        <f t="shared" si="271"/>
        <v>Exclude</v>
      </c>
      <c r="D980" s="425" t="s">
        <v>1331</v>
      </c>
      <c r="E980" s="44" t="s">
        <v>256</v>
      </c>
      <c r="F980" s="10"/>
      <c r="G980" s="21"/>
      <c r="H980" s="12" t="s">
        <v>2</v>
      </c>
      <c r="I980" s="13">
        <v>1800</v>
      </c>
      <c r="J980" s="16">
        <f t="shared" si="272"/>
        <v>0</v>
      </c>
      <c r="K980" s="304"/>
      <c r="L980" s="298"/>
      <c r="M980" s="298">
        <f t="shared" si="273"/>
        <v>0</v>
      </c>
      <c r="N980" s="16"/>
      <c r="O980" s="114"/>
      <c r="Q980" s="281"/>
      <c r="R980" s="281"/>
      <c r="S980" s="281"/>
      <c r="T980" s="281"/>
      <c r="U980" s="281"/>
    </row>
    <row r="981" spans="1:21" x14ac:dyDescent="0.3">
      <c r="A981" s="347" t="str">
        <f t="shared" si="271"/>
        <v>Exclude</v>
      </c>
      <c r="D981" s="425" t="s">
        <v>1331</v>
      </c>
      <c r="E981" s="44" t="s">
        <v>271</v>
      </c>
      <c r="F981" s="10"/>
      <c r="G981" s="21"/>
      <c r="H981" s="12" t="s">
        <v>3</v>
      </c>
      <c r="I981" s="13"/>
      <c r="J981" s="16">
        <f t="shared" si="272"/>
        <v>0</v>
      </c>
      <c r="K981" s="304"/>
      <c r="L981" s="298"/>
      <c r="M981" s="298">
        <f t="shared" si="273"/>
        <v>0</v>
      </c>
      <c r="N981" s="16"/>
      <c r="O981" s="114"/>
      <c r="Q981" s="281"/>
      <c r="R981" s="281"/>
      <c r="S981" s="281"/>
      <c r="T981" s="281"/>
      <c r="U981" s="281"/>
    </row>
    <row r="982" spans="1:21" x14ac:dyDescent="0.3">
      <c r="A982" s="347" t="str">
        <f t="shared" si="271"/>
        <v>Exclude</v>
      </c>
      <c r="D982" s="425" t="s">
        <v>1331</v>
      </c>
      <c r="E982" s="44" t="s">
        <v>272</v>
      </c>
      <c r="F982" s="10"/>
      <c r="G982" s="21"/>
      <c r="H982" s="12" t="s">
        <v>2</v>
      </c>
      <c r="I982" s="13">
        <v>2500</v>
      </c>
      <c r="J982" s="16">
        <f t="shared" si="272"/>
        <v>0</v>
      </c>
      <c r="K982" s="304"/>
      <c r="L982" s="298"/>
      <c r="M982" s="298">
        <f t="shared" si="273"/>
        <v>0</v>
      </c>
      <c r="N982" s="16"/>
      <c r="O982" s="114"/>
      <c r="Q982" s="281"/>
      <c r="R982" s="281"/>
      <c r="S982" s="281"/>
      <c r="T982" s="281"/>
      <c r="U982" s="281"/>
    </row>
    <row r="983" spans="1:21" x14ac:dyDescent="0.3">
      <c r="A983" s="347" t="str">
        <f t="shared" si="271"/>
        <v>Exclude</v>
      </c>
      <c r="D983" s="425" t="s">
        <v>1331</v>
      </c>
      <c r="E983" s="44" t="s">
        <v>420</v>
      </c>
      <c r="F983" s="10"/>
      <c r="G983" s="21"/>
      <c r="H983" s="12" t="s">
        <v>2</v>
      </c>
      <c r="I983" s="13"/>
      <c r="J983" s="16">
        <f t="shared" ref="J983:J984" si="275">G983*I983</f>
        <v>0</v>
      </c>
      <c r="K983" s="304"/>
      <c r="L983" s="298"/>
      <c r="M983" s="298">
        <f t="shared" si="273"/>
        <v>0</v>
      </c>
      <c r="N983" s="16"/>
      <c r="O983" s="114"/>
      <c r="Q983" s="281"/>
      <c r="R983" s="281"/>
      <c r="S983" s="281"/>
      <c r="T983" s="281"/>
      <c r="U983" s="281"/>
    </row>
    <row r="984" spans="1:21" x14ac:dyDescent="0.3">
      <c r="A984" s="347" t="str">
        <f t="shared" si="271"/>
        <v>Exclude</v>
      </c>
      <c r="D984" s="425" t="s">
        <v>1331</v>
      </c>
      <c r="E984" s="44" t="s">
        <v>421</v>
      </c>
      <c r="F984" s="10"/>
      <c r="G984" s="21"/>
      <c r="H984" s="12" t="s">
        <v>2</v>
      </c>
      <c r="I984" s="13"/>
      <c r="J984" s="16">
        <f t="shared" si="275"/>
        <v>0</v>
      </c>
      <c r="K984" s="304"/>
      <c r="L984" s="298"/>
      <c r="M984" s="298">
        <f t="shared" si="273"/>
        <v>0</v>
      </c>
      <c r="N984" s="16"/>
      <c r="O984" s="114"/>
      <c r="Q984" s="281"/>
      <c r="R984" s="281"/>
      <c r="S984" s="281"/>
      <c r="T984" s="281"/>
      <c r="U984" s="281"/>
    </row>
    <row r="985" spans="1:21" x14ac:dyDescent="0.3">
      <c r="A985" s="347" t="str">
        <f t="shared" si="271"/>
        <v>Exclude</v>
      </c>
      <c r="D985" s="427" t="s">
        <v>1331</v>
      </c>
      <c r="E985" s="199" t="s">
        <v>943</v>
      </c>
      <c r="F985" s="200"/>
      <c r="G985" s="201"/>
      <c r="H985" s="202" t="s">
        <v>0</v>
      </c>
      <c r="I985" s="203"/>
      <c r="J985" s="203"/>
      <c r="K985" s="304"/>
      <c r="L985" s="302"/>
      <c r="M985" s="302">
        <f>IF(K985="x","Included in Sub Bid",G985*I985)</f>
        <v>0</v>
      </c>
      <c r="N985" s="16"/>
      <c r="O985" s="104"/>
      <c r="Q985" s="281"/>
      <c r="R985" s="281"/>
      <c r="S985" s="281"/>
      <c r="T985" s="281"/>
      <c r="U985" s="281"/>
    </row>
    <row r="986" spans="1:21" x14ac:dyDescent="0.3">
      <c r="A986" s="347" t="str">
        <f t="shared" si="271"/>
        <v>Exclude</v>
      </c>
      <c r="D986" s="427" t="s">
        <v>1331</v>
      </c>
      <c r="E986" s="199" t="s">
        <v>944</v>
      </c>
      <c r="F986" s="200"/>
      <c r="G986" s="201"/>
      <c r="H986" s="202" t="s">
        <v>0</v>
      </c>
      <c r="I986" s="203"/>
      <c r="J986" s="203"/>
      <c r="K986" s="304"/>
      <c r="L986" s="302"/>
      <c r="M986" s="302">
        <f>IF(K986="x","Included in Sub Bid",G986*I986)</f>
        <v>0</v>
      </c>
      <c r="N986" s="16"/>
      <c r="O986" s="104"/>
      <c r="Q986" s="281"/>
      <c r="R986" s="281"/>
      <c r="S986" s="281"/>
      <c r="T986" s="281"/>
      <c r="U986" s="281"/>
    </row>
    <row r="987" spans="1:21" x14ac:dyDescent="0.3">
      <c r="A987" s="347" t="str">
        <f t="shared" si="271"/>
        <v>Exclude</v>
      </c>
      <c r="D987" s="425"/>
      <c r="E987" s="45"/>
      <c r="F987" s="10"/>
      <c r="G987" s="21"/>
      <c r="H987" s="19"/>
      <c r="I987" s="13"/>
      <c r="J987" s="16"/>
      <c r="K987" s="304"/>
      <c r="L987" s="298"/>
      <c r="M987" s="298"/>
      <c r="N987" s="16"/>
      <c r="O987" s="114"/>
      <c r="Q987" s="281"/>
      <c r="R987" s="281"/>
      <c r="S987" s="281"/>
      <c r="T987" s="281"/>
      <c r="U987" s="281"/>
    </row>
    <row r="988" spans="1:21" x14ac:dyDescent="0.3">
      <c r="A988" s="347" t="str">
        <f t="shared" si="271"/>
        <v>Exclude</v>
      </c>
      <c r="D988" s="425"/>
      <c r="E988" s="45"/>
      <c r="F988" s="10"/>
      <c r="G988" s="21"/>
      <c r="H988" s="19"/>
      <c r="I988" s="13"/>
      <c r="J988" s="16"/>
      <c r="K988" s="301"/>
      <c r="L988" s="298"/>
      <c r="M988" s="298"/>
      <c r="N988" s="16"/>
      <c r="O988" s="114"/>
      <c r="Q988" s="281"/>
      <c r="R988" s="281"/>
      <c r="S988" s="281"/>
      <c r="T988" s="281"/>
      <c r="U988" s="281"/>
    </row>
    <row r="989" spans="1:21" ht="15.5" x14ac:dyDescent="0.35">
      <c r="A989" s="347" t="str">
        <f>IF(J989=0,"Exclude","x")</f>
        <v>Exclude</v>
      </c>
      <c r="D989" s="431"/>
      <c r="E989" s="68" t="s">
        <v>644</v>
      </c>
      <c r="F989" s="63"/>
      <c r="G989" s="64"/>
      <c r="H989" s="65"/>
      <c r="I989" s="66"/>
      <c r="J989" s="66">
        <f>SUBTOTAL(9,J990:J1041)</f>
        <v>0</v>
      </c>
      <c r="K989" s="438">
        <f>IFERROR(J989/$G$6,0)</f>
        <v>0</v>
      </c>
      <c r="L989" s="311"/>
      <c r="M989" s="66"/>
      <c r="N989" s="66">
        <f>N990+N1016</f>
        <v>0</v>
      </c>
      <c r="O989" s="317">
        <f>IFERROR(N989/$G$6,0)</f>
        <v>0</v>
      </c>
      <c r="Q989" s="281"/>
      <c r="R989" s="281"/>
      <c r="S989" s="281"/>
      <c r="T989" s="281"/>
      <c r="U989" s="281"/>
    </row>
    <row r="990" spans="1:21" ht="15.5" x14ac:dyDescent="0.3">
      <c r="A990" s="347" t="str">
        <f>IF(J990=0,"Exclude","x")</f>
        <v>Exclude</v>
      </c>
      <c r="D990" s="424" t="s">
        <v>805</v>
      </c>
      <c r="E990" s="69" t="s">
        <v>748</v>
      </c>
      <c r="F990" s="56"/>
      <c r="G990" s="57"/>
      <c r="H990" s="58"/>
      <c r="I990" s="59"/>
      <c r="J990" s="60">
        <f>SUBTOTAL(9,J991:J1015)</f>
        <v>0</v>
      </c>
      <c r="K990" s="59">
        <f>IFERROR(J990/$G$6,0)</f>
        <v>0</v>
      </c>
      <c r="L990" s="309"/>
      <c r="M990" s="60"/>
      <c r="N990" s="59">
        <f>SUM(M991:M1015)</f>
        <v>0</v>
      </c>
      <c r="O990" s="435">
        <f>IFERROR(N990/$G$6,0)</f>
        <v>0</v>
      </c>
      <c r="Q990" s="281"/>
      <c r="R990" s="281"/>
      <c r="S990" s="281"/>
      <c r="T990" s="281"/>
      <c r="U990" s="281"/>
    </row>
    <row r="991" spans="1:21" x14ac:dyDescent="0.3">
      <c r="A991" s="347" t="str">
        <f t="shared" ref="A991:A1015" si="276">A990</f>
        <v>Exclude</v>
      </c>
      <c r="D991" s="426" t="s">
        <v>1332</v>
      </c>
      <c r="E991" s="39" t="s">
        <v>1203</v>
      </c>
      <c r="F991" s="24"/>
      <c r="G991" s="292"/>
      <c r="H991" s="25"/>
      <c r="I991" s="293"/>
      <c r="J991" s="293"/>
      <c r="K991" s="301"/>
      <c r="L991" s="300">
        <v>0</v>
      </c>
      <c r="M991" s="301">
        <f>L991</f>
        <v>0</v>
      </c>
      <c r="N991" s="293"/>
      <c r="O991" s="294"/>
      <c r="Q991" s="282"/>
      <c r="R991" s="281"/>
      <c r="S991" s="283"/>
      <c r="T991" s="283"/>
      <c r="U991" s="283"/>
    </row>
    <row r="992" spans="1:21" x14ac:dyDescent="0.3">
      <c r="A992" s="347" t="str">
        <f t="shared" si="276"/>
        <v>Exclude</v>
      </c>
      <c r="D992" s="425" t="s">
        <v>1332</v>
      </c>
      <c r="E992" s="44" t="s">
        <v>298</v>
      </c>
      <c r="F992" s="10">
        <f>'Project Info Input'!C93</f>
        <v>0</v>
      </c>
      <c r="G992" s="21">
        <f>'Project Info Input'!C92</f>
        <v>0</v>
      </c>
      <c r="H992" s="19" t="s">
        <v>2</v>
      </c>
      <c r="I992" s="13">
        <v>28000</v>
      </c>
      <c r="J992" s="16">
        <f>G992*I992</f>
        <v>0</v>
      </c>
      <c r="K992" s="304"/>
      <c r="L992" s="298"/>
      <c r="M992" s="298">
        <f t="shared" ref="M992:M1011" si="277">IF(K992="x","Included in Sub Bid",J992)</f>
        <v>0</v>
      </c>
      <c r="N992" s="16"/>
      <c r="O992" s="114"/>
      <c r="Q992" s="281"/>
      <c r="R992" s="281"/>
      <c r="S992" s="281"/>
      <c r="T992" s="281"/>
      <c r="U992" s="281"/>
    </row>
    <row r="993" spans="1:21" x14ac:dyDescent="0.3">
      <c r="A993" s="347" t="str">
        <f t="shared" si="276"/>
        <v>Exclude</v>
      </c>
      <c r="D993" s="425" t="s">
        <v>1332</v>
      </c>
      <c r="E993" s="44" t="s">
        <v>1182</v>
      </c>
      <c r="F993" s="10">
        <f>'Project Info Input'!C94</f>
        <v>1</v>
      </c>
      <c r="G993" s="21">
        <f>'Project Info Input'!C96</f>
        <v>0</v>
      </c>
      <c r="H993" s="19" t="s">
        <v>2</v>
      </c>
      <c r="I993" s="13">
        <v>7000</v>
      </c>
      <c r="J993" s="16">
        <f>G993*I993</f>
        <v>0</v>
      </c>
      <c r="K993" s="304"/>
      <c r="L993" s="298"/>
      <c r="M993" s="298">
        <f t="shared" si="277"/>
        <v>0</v>
      </c>
      <c r="N993" s="16"/>
      <c r="O993" s="114"/>
      <c r="Q993" s="281"/>
      <c r="R993" s="281"/>
      <c r="S993" s="281"/>
      <c r="T993" s="281"/>
      <c r="U993" s="281"/>
    </row>
    <row r="994" spans="1:21" x14ac:dyDescent="0.3">
      <c r="A994" s="347" t="str">
        <f t="shared" si="276"/>
        <v>Exclude</v>
      </c>
      <c r="D994" s="425" t="s">
        <v>1332</v>
      </c>
      <c r="E994" s="44" t="s">
        <v>488</v>
      </c>
      <c r="F994" s="10"/>
      <c r="G994" s="21">
        <f>G993</f>
        <v>0</v>
      </c>
      <c r="H994" s="19" t="s">
        <v>2</v>
      </c>
      <c r="I994" s="13">
        <v>500</v>
      </c>
      <c r="J994" s="16">
        <f>G994*I994</f>
        <v>0</v>
      </c>
      <c r="K994" s="304"/>
      <c r="L994" s="298"/>
      <c r="M994" s="298">
        <f t="shared" si="277"/>
        <v>0</v>
      </c>
      <c r="N994" s="16"/>
      <c r="O994" s="114"/>
      <c r="Q994" s="281"/>
      <c r="R994" s="281"/>
      <c r="S994" s="281"/>
      <c r="T994" s="281"/>
      <c r="U994" s="281"/>
    </row>
    <row r="995" spans="1:21" x14ac:dyDescent="0.3">
      <c r="A995" s="347" t="str">
        <f t="shared" si="276"/>
        <v>Exclude</v>
      </c>
      <c r="D995" s="425" t="s">
        <v>1332</v>
      </c>
      <c r="E995" s="44" t="s">
        <v>299</v>
      </c>
      <c r="F995" s="10">
        <f>F993</f>
        <v>1</v>
      </c>
      <c r="G995" s="21">
        <f>G994</f>
        <v>0</v>
      </c>
      <c r="H995" s="19" t="s">
        <v>2</v>
      </c>
      <c r="I995" s="13">
        <v>6500</v>
      </c>
      <c r="J995" s="16">
        <f>G995*I995</f>
        <v>0</v>
      </c>
      <c r="K995" s="304"/>
      <c r="L995" s="298"/>
      <c r="M995" s="298">
        <f t="shared" si="277"/>
        <v>0</v>
      </c>
      <c r="N995" s="16"/>
      <c r="O995" s="114"/>
      <c r="Q995" s="281"/>
      <c r="R995" s="281"/>
      <c r="S995" s="281"/>
      <c r="T995" s="281"/>
      <c r="U995" s="281"/>
    </row>
    <row r="996" spans="1:21" ht="12" customHeight="1" x14ac:dyDescent="0.3">
      <c r="A996" s="347" t="str">
        <f t="shared" si="276"/>
        <v>Exclude</v>
      </c>
      <c r="D996" s="425" t="s">
        <v>1332</v>
      </c>
      <c r="E996" s="44" t="s">
        <v>295</v>
      </c>
      <c r="F996" s="10"/>
      <c r="G996" s="21">
        <f>'Project Info Input'!C97</f>
        <v>0</v>
      </c>
      <c r="H996" s="19" t="s">
        <v>2</v>
      </c>
      <c r="I996" s="13">
        <v>2750</v>
      </c>
      <c r="J996" s="16">
        <f>G996*I996</f>
        <v>0</v>
      </c>
      <c r="K996" s="304"/>
      <c r="L996" s="298"/>
      <c r="M996" s="298">
        <f t="shared" si="277"/>
        <v>0</v>
      </c>
      <c r="N996" s="16"/>
      <c r="O996" s="114"/>
      <c r="Q996" s="281"/>
      <c r="R996" s="281"/>
      <c r="S996" s="281"/>
      <c r="T996" s="281"/>
      <c r="U996" s="281"/>
    </row>
    <row r="997" spans="1:21" ht="12" customHeight="1" x14ac:dyDescent="0.3">
      <c r="A997" s="347" t="str">
        <f t="shared" si="276"/>
        <v>Exclude</v>
      </c>
      <c r="D997" s="425" t="s">
        <v>1332</v>
      </c>
      <c r="E997" s="44" t="s">
        <v>294</v>
      </c>
      <c r="F997" s="10"/>
      <c r="G997" s="21">
        <f>'Project Info Input'!C98</f>
        <v>0</v>
      </c>
      <c r="H997" s="19" t="s">
        <v>2</v>
      </c>
      <c r="I997" s="13">
        <v>1250</v>
      </c>
      <c r="J997" s="16">
        <f t="shared" ref="J997:J1011" si="278">G997*I997</f>
        <v>0</v>
      </c>
      <c r="K997" s="304"/>
      <c r="L997" s="298"/>
      <c r="M997" s="298">
        <f t="shared" si="277"/>
        <v>0</v>
      </c>
      <c r="N997" s="16"/>
      <c r="O997" s="114"/>
      <c r="Q997" s="281"/>
      <c r="R997" s="281"/>
      <c r="S997" s="281"/>
      <c r="T997" s="281"/>
      <c r="U997" s="281"/>
    </row>
    <row r="998" spans="1:21" x14ac:dyDescent="0.3">
      <c r="A998" s="347" t="str">
        <f t="shared" si="276"/>
        <v>Exclude</v>
      </c>
      <c r="D998" s="425" t="s">
        <v>1332</v>
      </c>
      <c r="E998" s="36" t="s">
        <v>302</v>
      </c>
      <c r="F998" s="10"/>
      <c r="G998" s="21"/>
      <c r="H998" s="19" t="s">
        <v>2</v>
      </c>
      <c r="I998" s="13">
        <v>15000</v>
      </c>
      <c r="J998" s="16">
        <f>G998*I998</f>
        <v>0</v>
      </c>
      <c r="K998" s="304"/>
      <c r="L998" s="298"/>
      <c r="M998" s="298">
        <f t="shared" si="277"/>
        <v>0</v>
      </c>
      <c r="N998" s="16"/>
      <c r="O998" s="114"/>
      <c r="Q998" s="281"/>
      <c r="R998" s="281"/>
      <c r="S998" s="281"/>
      <c r="T998" s="281"/>
      <c r="U998" s="281"/>
    </row>
    <row r="999" spans="1:21" x14ac:dyDescent="0.3">
      <c r="A999" s="347" t="str">
        <f t="shared" si="276"/>
        <v>Exclude</v>
      </c>
      <c r="D999" s="425" t="s">
        <v>1332</v>
      </c>
      <c r="E999" s="44" t="s">
        <v>296</v>
      </c>
      <c r="F999" s="10"/>
      <c r="G999" s="21"/>
      <c r="H999" s="19" t="s">
        <v>2</v>
      </c>
      <c r="I999" s="13"/>
      <c r="J999" s="16">
        <f t="shared" si="278"/>
        <v>0</v>
      </c>
      <c r="K999" s="304"/>
      <c r="L999" s="298"/>
      <c r="M999" s="298">
        <f t="shared" si="277"/>
        <v>0</v>
      </c>
      <c r="N999" s="16"/>
      <c r="O999" s="114"/>
      <c r="Q999" s="281"/>
      <c r="R999" s="281"/>
      <c r="S999" s="281"/>
      <c r="T999" s="281"/>
      <c r="U999" s="281"/>
    </row>
    <row r="1000" spans="1:21" x14ac:dyDescent="0.3">
      <c r="A1000" s="347" t="str">
        <f t="shared" si="276"/>
        <v>Exclude</v>
      </c>
      <c r="D1000" s="425" t="s">
        <v>1332</v>
      </c>
      <c r="E1000" s="44" t="s">
        <v>297</v>
      </c>
      <c r="F1000" s="10"/>
      <c r="G1000" s="21"/>
      <c r="H1000" s="19" t="s">
        <v>20</v>
      </c>
      <c r="I1000" s="13">
        <v>1200</v>
      </c>
      <c r="J1000" s="16">
        <f t="shared" si="278"/>
        <v>0</v>
      </c>
      <c r="K1000" s="304"/>
      <c r="L1000" s="298"/>
      <c r="M1000" s="298">
        <f t="shared" si="277"/>
        <v>0</v>
      </c>
      <c r="N1000" s="16"/>
      <c r="O1000" s="114"/>
      <c r="Q1000" s="281"/>
      <c r="R1000" s="281"/>
      <c r="S1000" s="281"/>
      <c r="T1000" s="281"/>
      <c r="U1000" s="281"/>
    </row>
    <row r="1001" spans="1:21" x14ac:dyDescent="0.3">
      <c r="A1001" s="347" t="str">
        <f t="shared" si="276"/>
        <v>Exclude</v>
      </c>
      <c r="D1001" s="425" t="s">
        <v>1332</v>
      </c>
      <c r="E1001" s="44" t="s">
        <v>283</v>
      </c>
      <c r="F1001" s="10"/>
      <c r="G1001" s="21"/>
      <c r="H1001" s="19" t="s">
        <v>2</v>
      </c>
      <c r="I1001" s="13"/>
      <c r="J1001" s="16">
        <f>G1001*I1001</f>
        <v>0</v>
      </c>
      <c r="K1001" s="304"/>
      <c r="L1001" s="298"/>
      <c r="M1001" s="298">
        <f t="shared" si="277"/>
        <v>0</v>
      </c>
      <c r="N1001" s="16"/>
      <c r="O1001" s="114"/>
      <c r="Q1001" s="281"/>
      <c r="R1001" s="281"/>
      <c r="S1001" s="281"/>
      <c r="T1001" s="281"/>
      <c r="U1001" s="281"/>
    </row>
    <row r="1002" spans="1:21" x14ac:dyDescent="0.3">
      <c r="A1002" s="347" t="str">
        <f t="shared" si="276"/>
        <v>Exclude</v>
      </c>
      <c r="D1002" s="425" t="s">
        <v>1332</v>
      </c>
      <c r="E1002" s="44" t="s">
        <v>284</v>
      </c>
      <c r="F1002" s="10"/>
      <c r="G1002" s="21"/>
      <c r="H1002" s="19" t="s">
        <v>2</v>
      </c>
      <c r="I1002" s="13"/>
      <c r="J1002" s="16">
        <f t="shared" si="278"/>
        <v>0</v>
      </c>
      <c r="K1002" s="304"/>
      <c r="L1002" s="298"/>
      <c r="M1002" s="298">
        <f t="shared" si="277"/>
        <v>0</v>
      </c>
      <c r="N1002" s="16"/>
      <c r="O1002" s="114"/>
      <c r="Q1002" s="281"/>
      <c r="R1002" s="281"/>
      <c r="S1002" s="281"/>
      <c r="T1002" s="281"/>
      <c r="U1002" s="281"/>
    </row>
    <row r="1003" spans="1:21" x14ac:dyDescent="0.3">
      <c r="A1003" s="347" t="str">
        <f t="shared" si="276"/>
        <v>Exclude</v>
      </c>
      <c r="D1003" s="425" t="s">
        <v>1332</v>
      </c>
      <c r="E1003" s="44" t="s">
        <v>497</v>
      </c>
      <c r="F1003" s="10"/>
      <c r="G1003" s="21"/>
      <c r="H1003" s="19" t="s">
        <v>2</v>
      </c>
      <c r="I1003" s="13"/>
      <c r="J1003" s="16">
        <f t="shared" si="278"/>
        <v>0</v>
      </c>
      <c r="K1003" s="304"/>
      <c r="L1003" s="298"/>
      <c r="M1003" s="298">
        <f t="shared" si="277"/>
        <v>0</v>
      </c>
      <c r="N1003" s="16"/>
      <c r="O1003" s="114"/>
      <c r="Q1003" s="281"/>
      <c r="R1003" s="281"/>
      <c r="S1003" s="281"/>
      <c r="T1003" s="281"/>
      <c r="U1003" s="281"/>
    </row>
    <row r="1004" spans="1:21" x14ac:dyDescent="0.3">
      <c r="A1004" s="347" t="str">
        <f t="shared" si="276"/>
        <v>Exclude</v>
      </c>
      <c r="D1004" s="425" t="s">
        <v>1332</v>
      </c>
      <c r="E1004" s="44" t="s">
        <v>301</v>
      </c>
      <c r="F1004" s="10"/>
      <c r="G1004" s="21"/>
      <c r="H1004" s="19" t="s">
        <v>2</v>
      </c>
      <c r="I1004" s="13"/>
      <c r="J1004" s="16">
        <f t="shared" si="278"/>
        <v>0</v>
      </c>
      <c r="K1004" s="304"/>
      <c r="L1004" s="298"/>
      <c r="M1004" s="298">
        <f t="shared" si="277"/>
        <v>0</v>
      </c>
      <c r="N1004" s="16"/>
      <c r="O1004" s="114"/>
      <c r="Q1004" s="281"/>
      <c r="R1004" s="281"/>
      <c r="S1004" s="281"/>
      <c r="T1004" s="281"/>
      <c r="U1004" s="281"/>
    </row>
    <row r="1005" spans="1:21" x14ac:dyDescent="0.3">
      <c r="A1005" s="347" t="str">
        <f t="shared" si="276"/>
        <v>Exclude</v>
      </c>
      <c r="D1005" s="425" t="s">
        <v>1332</v>
      </c>
      <c r="E1005" s="44" t="s">
        <v>114</v>
      </c>
      <c r="F1005" s="10"/>
      <c r="G1005" s="21"/>
      <c r="H1005" s="19" t="s">
        <v>37</v>
      </c>
      <c r="I1005" s="13"/>
      <c r="J1005" s="16">
        <f t="shared" si="278"/>
        <v>0</v>
      </c>
      <c r="K1005" s="304"/>
      <c r="L1005" s="298"/>
      <c r="M1005" s="298">
        <f t="shared" si="277"/>
        <v>0</v>
      </c>
      <c r="N1005" s="16"/>
      <c r="O1005" s="114"/>
      <c r="Q1005" s="281"/>
      <c r="R1005" s="281"/>
      <c r="S1005" s="281"/>
      <c r="T1005" s="281"/>
      <c r="U1005" s="281"/>
    </row>
    <row r="1006" spans="1:21" x14ac:dyDescent="0.3">
      <c r="A1006" s="347" t="str">
        <f t="shared" si="276"/>
        <v>Exclude</v>
      </c>
      <c r="D1006" s="425" t="s">
        <v>1332</v>
      </c>
      <c r="E1006" s="44" t="s">
        <v>300</v>
      </c>
      <c r="F1006" s="10"/>
      <c r="G1006" s="21"/>
      <c r="H1006" s="19" t="s">
        <v>2</v>
      </c>
      <c r="I1006" s="13">
        <v>1500</v>
      </c>
      <c r="J1006" s="16">
        <f>G1006*I1006</f>
        <v>0</v>
      </c>
      <c r="K1006" s="304"/>
      <c r="L1006" s="298"/>
      <c r="M1006" s="298">
        <f t="shared" si="277"/>
        <v>0</v>
      </c>
      <c r="N1006" s="16"/>
      <c r="O1006" s="114"/>
      <c r="Q1006" s="281"/>
      <c r="R1006" s="281"/>
      <c r="S1006" s="281"/>
      <c r="T1006" s="281"/>
      <c r="U1006" s="281"/>
    </row>
    <row r="1007" spans="1:21" x14ac:dyDescent="0.3">
      <c r="A1007" s="347" t="str">
        <f t="shared" si="276"/>
        <v>Exclude</v>
      </c>
      <c r="D1007" s="425" t="s">
        <v>1332</v>
      </c>
      <c r="E1007" s="44" t="s">
        <v>234</v>
      </c>
      <c r="F1007" s="10"/>
      <c r="G1007" s="21"/>
      <c r="H1007" s="19" t="s">
        <v>0</v>
      </c>
      <c r="I1007" s="13"/>
      <c r="J1007" s="16">
        <f t="shared" si="278"/>
        <v>0</v>
      </c>
      <c r="K1007" s="304"/>
      <c r="L1007" s="298"/>
      <c r="M1007" s="298">
        <f t="shared" si="277"/>
        <v>0</v>
      </c>
      <c r="N1007" s="16"/>
      <c r="O1007" s="114"/>
      <c r="Q1007" s="281"/>
      <c r="R1007" s="281"/>
      <c r="S1007" s="281"/>
      <c r="T1007" s="281"/>
      <c r="U1007" s="281"/>
    </row>
    <row r="1008" spans="1:21" x14ac:dyDescent="0.3">
      <c r="A1008" s="347" t="str">
        <f t="shared" si="276"/>
        <v>Exclude</v>
      </c>
      <c r="D1008" s="425" t="s">
        <v>1332</v>
      </c>
      <c r="E1008" s="44" t="s">
        <v>348</v>
      </c>
      <c r="F1008" s="10"/>
      <c r="G1008" s="21"/>
      <c r="H1008" s="19" t="s">
        <v>2</v>
      </c>
      <c r="I1008" s="13"/>
      <c r="J1008" s="16">
        <f t="shared" si="278"/>
        <v>0</v>
      </c>
      <c r="K1008" s="304"/>
      <c r="L1008" s="298"/>
      <c r="M1008" s="298">
        <f t="shared" si="277"/>
        <v>0</v>
      </c>
      <c r="N1008" s="16"/>
      <c r="O1008" s="114"/>
      <c r="Q1008" s="281"/>
      <c r="R1008" s="281"/>
      <c r="S1008" s="281"/>
      <c r="T1008" s="281"/>
      <c r="U1008" s="281"/>
    </row>
    <row r="1009" spans="1:21" x14ac:dyDescent="0.3">
      <c r="A1009" s="347" t="str">
        <f t="shared" si="276"/>
        <v>Exclude</v>
      </c>
      <c r="D1009" s="425" t="s">
        <v>1332</v>
      </c>
      <c r="E1009" s="44" t="s">
        <v>303</v>
      </c>
      <c r="F1009" s="10"/>
      <c r="G1009" s="21"/>
      <c r="H1009" s="19" t="s">
        <v>2</v>
      </c>
      <c r="I1009" s="13"/>
      <c r="J1009" s="16">
        <f t="shared" si="278"/>
        <v>0</v>
      </c>
      <c r="K1009" s="304"/>
      <c r="L1009" s="298"/>
      <c r="M1009" s="298">
        <f t="shared" si="277"/>
        <v>0</v>
      </c>
      <c r="N1009" s="16"/>
      <c r="O1009" s="114"/>
      <c r="Q1009" s="281"/>
      <c r="R1009" s="281"/>
      <c r="S1009" s="281"/>
      <c r="T1009" s="281"/>
      <c r="U1009" s="281"/>
    </row>
    <row r="1010" spans="1:21" x14ac:dyDescent="0.3">
      <c r="A1010" s="347" t="str">
        <f t="shared" si="276"/>
        <v>Exclude</v>
      </c>
      <c r="D1010" s="425" t="s">
        <v>1332</v>
      </c>
      <c r="E1010" s="44" t="s">
        <v>1393</v>
      </c>
      <c r="F1010" s="10"/>
      <c r="G1010" s="21"/>
      <c r="H1010" s="19" t="s">
        <v>2</v>
      </c>
      <c r="I1010" s="13"/>
      <c r="J1010" s="16">
        <f t="shared" si="278"/>
        <v>0</v>
      </c>
      <c r="K1010" s="304"/>
      <c r="L1010" s="298"/>
      <c r="M1010" s="298">
        <f t="shared" si="277"/>
        <v>0</v>
      </c>
      <c r="N1010" s="16"/>
      <c r="O1010" s="114"/>
      <c r="Q1010" s="281"/>
      <c r="R1010" s="281"/>
      <c r="S1010" s="281"/>
      <c r="T1010" s="281"/>
      <c r="U1010" s="281"/>
    </row>
    <row r="1011" spans="1:21" x14ac:dyDescent="0.3">
      <c r="A1011" s="347" t="str">
        <f t="shared" si="276"/>
        <v>Exclude</v>
      </c>
      <c r="D1011" s="425" t="s">
        <v>1332</v>
      </c>
      <c r="E1011" s="44" t="s">
        <v>1187</v>
      </c>
      <c r="F1011" s="10"/>
      <c r="G1011" s="21"/>
      <c r="H1011" s="19" t="s">
        <v>0</v>
      </c>
      <c r="I1011" s="13">
        <v>3500</v>
      </c>
      <c r="J1011" s="16">
        <f t="shared" si="278"/>
        <v>0</v>
      </c>
      <c r="K1011" s="304"/>
      <c r="L1011" s="298"/>
      <c r="M1011" s="298">
        <f t="shared" si="277"/>
        <v>0</v>
      </c>
      <c r="N1011" s="16"/>
      <c r="O1011" s="114"/>
      <c r="Q1011" s="281"/>
      <c r="R1011" s="281"/>
      <c r="S1011" s="281"/>
      <c r="T1011" s="281"/>
      <c r="U1011" s="281"/>
    </row>
    <row r="1012" spans="1:21" x14ac:dyDescent="0.3">
      <c r="A1012" s="347" t="str">
        <f t="shared" si="276"/>
        <v>Exclude</v>
      </c>
      <c r="D1012" s="427" t="s">
        <v>1332</v>
      </c>
      <c r="E1012" s="199" t="s">
        <v>943</v>
      </c>
      <c r="F1012" s="200"/>
      <c r="G1012" s="201"/>
      <c r="H1012" s="202" t="s">
        <v>0</v>
      </c>
      <c r="I1012" s="203"/>
      <c r="J1012" s="203"/>
      <c r="K1012" s="304"/>
      <c r="L1012" s="302"/>
      <c r="M1012" s="302">
        <f>IF(K1012="x","Included in Sub Bid",G1012*I1012)</f>
        <v>0</v>
      </c>
      <c r="N1012" s="16"/>
      <c r="O1012" s="104"/>
      <c r="Q1012" s="281"/>
      <c r="R1012" s="281"/>
      <c r="S1012" s="281"/>
      <c r="T1012" s="281"/>
      <c r="U1012" s="281"/>
    </row>
    <row r="1013" spans="1:21" x14ac:dyDescent="0.3">
      <c r="A1013" s="347" t="str">
        <f t="shared" si="276"/>
        <v>Exclude</v>
      </c>
      <c r="D1013" s="427" t="s">
        <v>1332</v>
      </c>
      <c r="E1013" s="199" t="s">
        <v>944</v>
      </c>
      <c r="F1013" s="200"/>
      <c r="G1013" s="201"/>
      <c r="H1013" s="202" t="s">
        <v>0</v>
      </c>
      <c r="I1013" s="203"/>
      <c r="J1013" s="203"/>
      <c r="K1013" s="304"/>
      <c r="L1013" s="302"/>
      <c r="M1013" s="302">
        <f>IF(K1013="x","Included in Sub Bid",G1013*I1013)</f>
        <v>0</v>
      </c>
      <c r="N1013" s="16"/>
      <c r="O1013" s="104"/>
      <c r="Q1013" s="281"/>
      <c r="R1013" s="281"/>
      <c r="S1013" s="281"/>
      <c r="T1013" s="281"/>
      <c r="U1013" s="281"/>
    </row>
    <row r="1014" spans="1:21" x14ac:dyDescent="0.3">
      <c r="A1014" s="347" t="str">
        <f t="shared" si="276"/>
        <v>Exclude</v>
      </c>
      <c r="D1014" s="425"/>
      <c r="E1014" s="44"/>
      <c r="F1014" s="10"/>
      <c r="G1014" s="21"/>
      <c r="H1014" s="19"/>
      <c r="I1014" s="13"/>
      <c r="J1014" s="16"/>
      <c r="K1014" s="304"/>
      <c r="L1014" s="298"/>
      <c r="M1014" s="298"/>
      <c r="N1014" s="16"/>
      <c r="O1014" s="114"/>
      <c r="Q1014" s="281"/>
      <c r="R1014" s="281"/>
      <c r="S1014" s="281"/>
      <c r="T1014" s="281"/>
      <c r="U1014" s="281"/>
    </row>
    <row r="1015" spans="1:21" x14ac:dyDescent="0.3">
      <c r="A1015" s="347" t="str">
        <f t="shared" si="276"/>
        <v>Exclude</v>
      </c>
      <c r="D1015" s="425"/>
      <c r="E1015" s="45"/>
      <c r="F1015" s="10"/>
      <c r="G1015" s="21"/>
      <c r="H1015" s="19"/>
      <c r="I1015" s="13"/>
      <c r="J1015" s="16"/>
      <c r="K1015" s="301"/>
      <c r="L1015" s="298"/>
      <c r="M1015" s="298"/>
      <c r="N1015" s="16"/>
      <c r="O1015" s="114"/>
      <c r="Q1015" s="281"/>
      <c r="R1015" s="281"/>
      <c r="S1015" s="281"/>
      <c r="T1015" s="281"/>
      <c r="U1015" s="281"/>
    </row>
    <row r="1016" spans="1:21" ht="15.5" x14ac:dyDescent="0.3">
      <c r="A1016" s="347" t="str">
        <f>IF(J1016=0,"Exclude","x")</f>
        <v>Exclude</v>
      </c>
      <c r="D1016" s="424" t="s">
        <v>805</v>
      </c>
      <c r="E1016" s="69" t="s">
        <v>749</v>
      </c>
      <c r="F1016" s="56"/>
      <c r="G1016" s="57"/>
      <c r="H1016" s="58"/>
      <c r="I1016" s="59"/>
      <c r="J1016" s="60">
        <f>SUBTOTAL(9,J1017:J1041)</f>
        <v>0</v>
      </c>
      <c r="K1016" s="59">
        <f>IFERROR(J1016/$G$6,0)</f>
        <v>0</v>
      </c>
      <c r="L1016" s="309"/>
      <c r="M1016" s="60"/>
      <c r="N1016" s="59">
        <f>SUM(M1017:M1041)</f>
        <v>0</v>
      </c>
      <c r="O1016" s="435">
        <f>IFERROR(N1016/$G$6,0)</f>
        <v>0</v>
      </c>
      <c r="Q1016" s="281"/>
      <c r="R1016" s="281"/>
      <c r="S1016" s="281"/>
      <c r="T1016" s="281"/>
      <c r="U1016" s="281"/>
    </row>
    <row r="1017" spans="1:21" x14ac:dyDescent="0.3">
      <c r="A1017" s="347" t="str">
        <f t="shared" ref="A1017:A1041" si="279">A1016</f>
        <v>Exclude</v>
      </c>
      <c r="D1017" s="426" t="s">
        <v>1332</v>
      </c>
      <c r="E1017" s="39" t="s">
        <v>1203</v>
      </c>
      <c r="F1017" s="24"/>
      <c r="G1017" s="292"/>
      <c r="H1017" s="25"/>
      <c r="I1017" s="293"/>
      <c r="J1017" s="293"/>
      <c r="K1017" s="301"/>
      <c r="L1017" s="300">
        <v>0</v>
      </c>
      <c r="M1017" s="301">
        <f>L1017</f>
        <v>0</v>
      </c>
      <c r="N1017" s="293"/>
      <c r="O1017" s="294"/>
      <c r="Q1017" s="282"/>
      <c r="R1017" s="281"/>
      <c r="S1017" s="283"/>
      <c r="T1017" s="283"/>
      <c r="U1017" s="283"/>
    </row>
    <row r="1018" spans="1:21" x14ac:dyDescent="0.3">
      <c r="A1018" s="347" t="str">
        <f t="shared" si="279"/>
        <v>Exclude</v>
      </c>
      <c r="D1018" s="425" t="s">
        <v>1332</v>
      </c>
      <c r="E1018" s="44" t="s">
        <v>305</v>
      </c>
      <c r="F1018" s="10"/>
      <c r="G1018" s="21"/>
      <c r="H1018" s="12" t="s">
        <v>1</v>
      </c>
      <c r="I1018" s="13"/>
      <c r="J1018" s="16">
        <f t="shared" ref="J1018:J1037" si="280">G1018*I1018</f>
        <v>0</v>
      </c>
      <c r="K1018" s="304"/>
      <c r="L1018" s="298"/>
      <c r="M1018" s="298">
        <f t="shared" ref="M1018:M1037" si="281">IF(K1018="x","Included in Sub Bid",J1018)</f>
        <v>0</v>
      </c>
      <c r="N1018" s="16"/>
      <c r="O1018" s="104"/>
      <c r="Q1018" s="281"/>
      <c r="R1018" s="281"/>
      <c r="S1018" s="281"/>
      <c r="T1018" s="281"/>
      <c r="U1018" s="281"/>
    </row>
    <row r="1019" spans="1:21" x14ac:dyDescent="0.3">
      <c r="A1019" s="347" t="str">
        <f t="shared" si="279"/>
        <v>Exclude</v>
      </c>
      <c r="D1019" s="425" t="s">
        <v>1332</v>
      </c>
      <c r="E1019" s="44" t="s">
        <v>306</v>
      </c>
      <c r="F1019" s="10"/>
      <c r="G1019" s="21"/>
      <c r="H1019" s="12" t="s">
        <v>3</v>
      </c>
      <c r="I1019" s="13"/>
      <c r="J1019" s="16">
        <f t="shared" si="280"/>
        <v>0</v>
      </c>
      <c r="K1019" s="304"/>
      <c r="L1019" s="298"/>
      <c r="M1019" s="298">
        <f t="shared" si="281"/>
        <v>0</v>
      </c>
      <c r="N1019" s="16"/>
      <c r="O1019" s="104"/>
      <c r="Q1019" s="281"/>
      <c r="R1019" s="281"/>
      <c r="S1019" s="281"/>
      <c r="T1019" s="281"/>
      <c r="U1019" s="281"/>
    </row>
    <row r="1020" spans="1:21" x14ac:dyDescent="0.3">
      <c r="A1020" s="347" t="str">
        <f t="shared" si="279"/>
        <v>Exclude</v>
      </c>
      <c r="D1020" s="425" t="s">
        <v>1332</v>
      </c>
      <c r="E1020" s="44" t="s">
        <v>304</v>
      </c>
      <c r="F1020" s="10"/>
      <c r="G1020" s="21"/>
      <c r="H1020" s="12" t="s">
        <v>1</v>
      </c>
      <c r="I1020" s="13"/>
      <c r="J1020" s="16">
        <f t="shared" si="280"/>
        <v>0</v>
      </c>
      <c r="K1020" s="304"/>
      <c r="L1020" s="298"/>
      <c r="M1020" s="298">
        <f t="shared" si="281"/>
        <v>0</v>
      </c>
      <c r="N1020" s="16"/>
      <c r="O1020" s="104"/>
      <c r="Q1020" s="281"/>
      <c r="R1020" s="281"/>
      <c r="S1020" s="281"/>
      <c r="T1020" s="281"/>
      <c r="U1020" s="281"/>
    </row>
    <row r="1021" spans="1:21" x14ac:dyDescent="0.3">
      <c r="A1021" s="347" t="str">
        <f t="shared" si="279"/>
        <v>Exclude</v>
      </c>
      <c r="D1021" s="425" t="s">
        <v>1332</v>
      </c>
      <c r="E1021" s="44" t="s">
        <v>253</v>
      </c>
      <c r="F1021" s="10" t="s">
        <v>528</v>
      </c>
      <c r="G1021" s="21"/>
      <c r="H1021" s="12" t="s">
        <v>20</v>
      </c>
      <c r="I1021" s="13"/>
      <c r="J1021" s="16">
        <f t="shared" si="280"/>
        <v>0</v>
      </c>
      <c r="K1021" s="304"/>
      <c r="L1021" s="298"/>
      <c r="M1021" s="298">
        <f t="shared" si="281"/>
        <v>0</v>
      </c>
      <c r="N1021" s="16"/>
      <c r="O1021" s="104"/>
      <c r="Q1021" s="281"/>
      <c r="R1021" s="281"/>
      <c r="S1021" s="281"/>
      <c r="T1021" s="281"/>
      <c r="U1021" s="281"/>
    </row>
    <row r="1022" spans="1:21" x14ac:dyDescent="0.3">
      <c r="A1022" s="347" t="str">
        <f t="shared" si="279"/>
        <v>Exclude</v>
      </c>
      <c r="D1022" s="425" t="s">
        <v>1332</v>
      </c>
      <c r="E1022" s="44" t="s">
        <v>253</v>
      </c>
      <c r="F1022" s="10" t="s">
        <v>529</v>
      </c>
      <c r="G1022" s="21"/>
      <c r="H1022" s="12" t="s">
        <v>20</v>
      </c>
      <c r="I1022" s="13">
        <v>2700</v>
      </c>
      <c r="J1022" s="16">
        <f t="shared" ref="J1022" si="282">G1022*I1022</f>
        <v>0</v>
      </c>
      <c r="K1022" s="304"/>
      <c r="L1022" s="298"/>
      <c r="M1022" s="298">
        <f t="shared" si="281"/>
        <v>0</v>
      </c>
      <c r="N1022" s="16"/>
      <c r="O1022" s="104"/>
      <c r="Q1022" s="281"/>
      <c r="R1022" s="281"/>
      <c r="S1022" s="281"/>
      <c r="T1022" s="281"/>
      <c r="U1022" s="281"/>
    </row>
    <row r="1023" spans="1:21" x14ac:dyDescent="0.3">
      <c r="A1023" s="347" t="str">
        <f t="shared" si="279"/>
        <v>Exclude</v>
      </c>
      <c r="D1023" s="425" t="s">
        <v>1332</v>
      </c>
      <c r="E1023" s="44" t="s">
        <v>234</v>
      </c>
      <c r="F1023" s="10"/>
      <c r="G1023" s="21"/>
      <c r="H1023" s="12" t="s">
        <v>20</v>
      </c>
      <c r="I1023" s="13"/>
      <c r="J1023" s="16">
        <f t="shared" si="280"/>
        <v>0</v>
      </c>
      <c r="K1023" s="304"/>
      <c r="L1023" s="298"/>
      <c r="M1023" s="298">
        <f t="shared" si="281"/>
        <v>0</v>
      </c>
      <c r="N1023" s="16"/>
      <c r="O1023" s="104"/>
      <c r="Q1023" s="281"/>
      <c r="R1023" s="281"/>
      <c r="S1023" s="281"/>
      <c r="T1023" s="281"/>
      <c r="U1023" s="281"/>
    </row>
    <row r="1024" spans="1:21" x14ac:dyDescent="0.3">
      <c r="A1024" s="347" t="str">
        <f t="shared" si="279"/>
        <v>Exclude</v>
      </c>
      <c r="D1024" s="425" t="s">
        <v>1332</v>
      </c>
      <c r="E1024" s="44" t="s">
        <v>307</v>
      </c>
      <c r="F1024" s="10"/>
      <c r="G1024" s="21"/>
      <c r="H1024" s="12" t="s">
        <v>20</v>
      </c>
      <c r="I1024" s="13"/>
      <c r="J1024" s="16">
        <f t="shared" si="280"/>
        <v>0</v>
      </c>
      <c r="K1024" s="304"/>
      <c r="L1024" s="298"/>
      <c r="M1024" s="298">
        <f t="shared" si="281"/>
        <v>0</v>
      </c>
      <c r="N1024" s="16"/>
      <c r="O1024" s="104"/>
      <c r="Q1024" s="281"/>
      <c r="R1024" s="281"/>
      <c r="S1024" s="281"/>
      <c r="T1024" s="281"/>
      <c r="U1024" s="281"/>
    </row>
    <row r="1025" spans="1:21" x14ac:dyDescent="0.3">
      <c r="A1025" s="347" t="str">
        <f t="shared" si="279"/>
        <v>Exclude</v>
      </c>
      <c r="D1025" s="425" t="s">
        <v>1332</v>
      </c>
      <c r="E1025" s="44" t="s">
        <v>235</v>
      </c>
      <c r="F1025" s="10" t="s">
        <v>381</v>
      </c>
      <c r="G1025" s="21"/>
      <c r="H1025" s="12" t="s">
        <v>2</v>
      </c>
      <c r="I1025" s="13"/>
      <c r="J1025" s="16">
        <f t="shared" si="280"/>
        <v>0</v>
      </c>
      <c r="K1025" s="304"/>
      <c r="L1025" s="298"/>
      <c r="M1025" s="298">
        <f t="shared" si="281"/>
        <v>0</v>
      </c>
      <c r="N1025" s="16"/>
      <c r="O1025" s="104"/>
      <c r="Q1025" s="281"/>
      <c r="R1025" s="281"/>
      <c r="S1025" s="281"/>
      <c r="T1025" s="281"/>
      <c r="U1025" s="281"/>
    </row>
    <row r="1026" spans="1:21" x14ac:dyDescent="0.3">
      <c r="A1026" s="347" t="str">
        <f t="shared" si="279"/>
        <v>Exclude</v>
      </c>
      <c r="D1026" s="425" t="s">
        <v>1332</v>
      </c>
      <c r="E1026" s="44" t="s">
        <v>530</v>
      </c>
      <c r="F1026" s="10"/>
      <c r="G1026" s="21"/>
      <c r="H1026" s="12" t="s">
        <v>20</v>
      </c>
      <c r="I1026" s="13"/>
      <c r="J1026" s="16">
        <f t="shared" si="280"/>
        <v>0</v>
      </c>
      <c r="K1026" s="304"/>
      <c r="L1026" s="298"/>
      <c r="M1026" s="298">
        <f t="shared" si="281"/>
        <v>0</v>
      </c>
      <c r="N1026" s="16"/>
      <c r="O1026" s="104"/>
      <c r="Q1026" s="281"/>
      <c r="R1026" s="281"/>
      <c r="S1026" s="281"/>
      <c r="T1026" s="281"/>
      <c r="U1026" s="281"/>
    </row>
    <row r="1027" spans="1:21" x14ac:dyDescent="0.3">
      <c r="A1027" s="347" t="str">
        <f t="shared" si="279"/>
        <v>Exclude</v>
      </c>
      <c r="D1027" s="425" t="s">
        <v>1332</v>
      </c>
      <c r="E1027" s="44" t="s">
        <v>236</v>
      </c>
      <c r="F1027" s="10"/>
      <c r="G1027" s="21"/>
      <c r="H1027" s="12" t="s">
        <v>2</v>
      </c>
      <c r="I1027" s="13">
        <v>2000</v>
      </c>
      <c r="J1027" s="16">
        <f t="shared" si="280"/>
        <v>0</v>
      </c>
      <c r="K1027" s="304"/>
      <c r="L1027" s="298"/>
      <c r="M1027" s="298">
        <f t="shared" si="281"/>
        <v>0</v>
      </c>
      <c r="N1027" s="16"/>
      <c r="O1027" s="104"/>
      <c r="Q1027" s="281"/>
      <c r="R1027" s="281"/>
      <c r="S1027" s="281"/>
      <c r="T1027" s="281"/>
      <c r="U1027" s="281"/>
    </row>
    <row r="1028" spans="1:21" x14ac:dyDescent="0.3">
      <c r="A1028" s="347" t="str">
        <f t="shared" si="279"/>
        <v>Exclude</v>
      </c>
      <c r="D1028" s="425" t="s">
        <v>1332</v>
      </c>
      <c r="E1028" s="44" t="s">
        <v>237</v>
      </c>
      <c r="F1028" s="10"/>
      <c r="G1028" s="21"/>
      <c r="H1028" s="12" t="s">
        <v>2</v>
      </c>
      <c r="I1028" s="13"/>
      <c r="J1028" s="16">
        <f t="shared" si="280"/>
        <v>0</v>
      </c>
      <c r="K1028" s="304"/>
      <c r="L1028" s="298"/>
      <c r="M1028" s="298">
        <f t="shared" si="281"/>
        <v>0</v>
      </c>
      <c r="N1028" s="16"/>
      <c r="O1028" s="104"/>
      <c r="Q1028" s="281"/>
      <c r="R1028" s="281"/>
      <c r="S1028" s="281"/>
      <c r="T1028" s="281"/>
      <c r="U1028" s="281"/>
    </row>
    <row r="1029" spans="1:21" x14ac:dyDescent="0.3">
      <c r="A1029" s="347" t="str">
        <f t="shared" si="279"/>
        <v>Exclude</v>
      </c>
      <c r="D1029" s="425" t="s">
        <v>1332</v>
      </c>
      <c r="E1029" s="44" t="s">
        <v>238</v>
      </c>
      <c r="F1029" s="10"/>
      <c r="G1029" s="21"/>
      <c r="H1029" s="12" t="s">
        <v>2</v>
      </c>
      <c r="I1029" s="13"/>
      <c r="J1029" s="16">
        <f t="shared" si="280"/>
        <v>0</v>
      </c>
      <c r="K1029" s="304"/>
      <c r="L1029" s="298"/>
      <c r="M1029" s="298">
        <f t="shared" si="281"/>
        <v>0</v>
      </c>
      <c r="N1029" s="16"/>
      <c r="O1029" s="104"/>
      <c r="Q1029" s="281"/>
      <c r="R1029" s="281"/>
      <c r="S1029" s="281"/>
      <c r="T1029" s="281"/>
      <c r="U1029" s="281"/>
    </row>
    <row r="1030" spans="1:21" x14ac:dyDescent="0.3">
      <c r="A1030" s="347" t="str">
        <f t="shared" si="279"/>
        <v>Exclude</v>
      </c>
      <c r="D1030" s="425" t="s">
        <v>1332</v>
      </c>
      <c r="E1030" s="44" t="s">
        <v>239</v>
      </c>
      <c r="F1030" s="10"/>
      <c r="G1030" s="21"/>
      <c r="H1030" s="12" t="s">
        <v>2</v>
      </c>
      <c r="I1030" s="13"/>
      <c r="J1030" s="16">
        <f t="shared" si="280"/>
        <v>0</v>
      </c>
      <c r="K1030" s="304"/>
      <c r="L1030" s="298"/>
      <c r="M1030" s="298">
        <f t="shared" si="281"/>
        <v>0</v>
      </c>
      <c r="N1030" s="16"/>
      <c r="O1030" s="104"/>
      <c r="Q1030" s="281"/>
      <c r="R1030" s="281"/>
      <c r="S1030" s="281"/>
      <c r="T1030" s="281"/>
      <c r="U1030" s="281"/>
    </row>
    <row r="1031" spans="1:21" x14ac:dyDescent="0.3">
      <c r="A1031" s="347" t="str">
        <f t="shared" si="279"/>
        <v>Exclude</v>
      </c>
      <c r="D1031" s="425" t="s">
        <v>1332</v>
      </c>
      <c r="E1031" s="44" t="s">
        <v>240</v>
      </c>
      <c r="F1031" s="10"/>
      <c r="G1031" s="21"/>
      <c r="H1031" s="12" t="s">
        <v>2</v>
      </c>
      <c r="I1031" s="13"/>
      <c r="J1031" s="16">
        <f t="shared" si="280"/>
        <v>0</v>
      </c>
      <c r="K1031" s="304"/>
      <c r="L1031" s="298"/>
      <c r="M1031" s="298">
        <f t="shared" si="281"/>
        <v>0</v>
      </c>
      <c r="N1031" s="16"/>
      <c r="O1031" s="104"/>
      <c r="Q1031" s="281"/>
      <c r="R1031" s="281"/>
      <c r="S1031" s="281"/>
      <c r="T1031" s="281"/>
      <c r="U1031" s="281"/>
    </row>
    <row r="1032" spans="1:21" x14ac:dyDescent="0.3">
      <c r="A1032" s="347" t="str">
        <f t="shared" si="279"/>
        <v>Exclude</v>
      </c>
      <c r="D1032" s="425" t="s">
        <v>1332</v>
      </c>
      <c r="E1032" s="44" t="s">
        <v>241</v>
      </c>
      <c r="F1032" s="10"/>
      <c r="G1032" s="21"/>
      <c r="H1032" s="12" t="s">
        <v>2</v>
      </c>
      <c r="I1032" s="13"/>
      <c r="J1032" s="16">
        <f t="shared" si="280"/>
        <v>0</v>
      </c>
      <c r="K1032" s="304"/>
      <c r="L1032" s="298"/>
      <c r="M1032" s="298">
        <f t="shared" si="281"/>
        <v>0</v>
      </c>
      <c r="N1032" s="16"/>
      <c r="O1032" s="104"/>
      <c r="Q1032" s="281"/>
      <c r="R1032" s="281"/>
      <c r="S1032" s="281"/>
      <c r="T1032" s="281"/>
      <c r="U1032" s="281"/>
    </row>
    <row r="1033" spans="1:21" x14ac:dyDescent="0.3">
      <c r="A1033" s="347" t="str">
        <f t="shared" si="279"/>
        <v>Exclude</v>
      </c>
      <c r="D1033" s="425" t="s">
        <v>1332</v>
      </c>
      <c r="E1033" s="44" t="s">
        <v>308</v>
      </c>
      <c r="F1033" s="10"/>
      <c r="G1033" s="21"/>
      <c r="H1033" s="12" t="s">
        <v>0</v>
      </c>
      <c r="I1033" s="13"/>
      <c r="J1033" s="16">
        <f t="shared" si="280"/>
        <v>0</v>
      </c>
      <c r="K1033" s="304"/>
      <c r="L1033" s="298"/>
      <c r="M1033" s="298">
        <f t="shared" si="281"/>
        <v>0</v>
      </c>
      <c r="N1033" s="16"/>
      <c r="O1033" s="104"/>
      <c r="Q1033" s="281"/>
      <c r="R1033" s="281"/>
      <c r="S1033" s="281"/>
      <c r="T1033" s="281"/>
      <c r="U1033" s="281"/>
    </row>
    <row r="1034" spans="1:21" x14ac:dyDescent="0.3">
      <c r="A1034" s="347" t="str">
        <f t="shared" si="279"/>
        <v>Exclude</v>
      </c>
      <c r="D1034" s="425" t="s">
        <v>1332</v>
      </c>
      <c r="E1034" s="44" t="s">
        <v>418</v>
      </c>
      <c r="F1034" s="10"/>
      <c r="G1034" s="21"/>
      <c r="H1034" s="12" t="s">
        <v>0</v>
      </c>
      <c r="I1034" s="13"/>
      <c r="J1034" s="16">
        <f t="shared" ref="J1034:J1035" si="283">G1034*I1034</f>
        <v>0</v>
      </c>
      <c r="K1034" s="304"/>
      <c r="L1034" s="298"/>
      <c r="M1034" s="298">
        <f t="shared" si="281"/>
        <v>0</v>
      </c>
      <c r="N1034" s="16"/>
      <c r="O1034" s="104"/>
      <c r="Q1034" s="281"/>
      <c r="R1034" s="281"/>
      <c r="S1034" s="281"/>
      <c r="T1034" s="281"/>
      <c r="U1034" s="281"/>
    </row>
    <row r="1035" spans="1:21" x14ac:dyDescent="0.3">
      <c r="A1035" s="347" t="str">
        <f t="shared" si="279"/>
        <v>Exclude</v>
      </c>
      <c r="D1035" s="425" t="s">
        <v>1332</v>
      </c>
      <c r="E1035" s="44" t="s">
        <v>1393</v>
      </c>
      <c r="F1035" s="10"/>
      <c r="G1035" s="21"/>
      <c r="H1035" s="12" t="s">
        <v>0</v>
      </c>
      <c r="I1035" s="13"/>
      <c r="J1035" s="16">
        <f t="shared" si="283"/>
        <v>0</v>
      </c>
      <c r="K1035" s="304"/>
      <c r="L1035" s="298"/>
      <c r="M1035" s="298">
        <f t="shared" si="281"/>
        <v>0</v>
      </c>
      <c r="N1035" s="16"/>
      <c r="O1035" s="104"/>
      <c r="Q1035" s="281"/>
      <c r="R1035" s="281"/>
      <c r="S1035" s="281"/>
      <c r="T1035" s="281"/>
      <c r="U1035" s="281"/>
    </row>
    <row r="1036" spans="1:21" ht="12" customHeight="1" x14ac:dyDescent="0.3">
      <c r="A1036" s="347" t="str">
        <f t="shared" si="279"/>
        <v>Exclude</v>
      </c>
      <c r="D1036" s="425" t="s">
        <v>1332</v>
      </c>
      <c r="E1036" s="44" t="s">
        <v>309</v>
      </c>
      <c r="F1036" s="10"/>
      <c r="G1036" s="21"/>
      <c r="H1036" s="19" t="s">
        <v>0</v>
      </c>
      <c r="I1036" s="13"/>
      <c r="J1036" s="16">
        <f t="shared" si="280"/>
        <v>0</v>
      </c>
      <c r="K1036" s="304"/>
      <c r="L1036" s="298"/>
      <c r="M1036" s="298">
        <f t="shared" si="281"/>
        <v>0</v>
      </c>
      <c r="N1036" s="16"/>
      <c r="O1036" s="104"/>
      <c r="Q1036" s="281"/>
      <c r="R1036" s="281"/>
      <c r="S1036" s="281"/>
      <c r="T1036" s="281"/>
      <c r="U1036" s="281"/>
    </row>
    <row r="1037" spans="1:21" ht="12" customHeight="1" x14ac:dyDescent="0.3">
      <c r="A1037" s="347" t="str">
        <f t="shared" si="279"/>
        <v>Exclude</v>
      </c>
      <c r="D1037" s="425" t="s">
        <v>1332</v>
      </c>
      <c r="E1037" s="44" t="s">
        <v>310</v>
      </c>
      <c r="F1037" s="10"/>
      <c r="G1037" s="21"/>
      <c r="H1037" s="19" t="s">
        <v>0</v>
      </c>
      <c r="I1037" s="13"/>
      <c r="J1037" s="16">
        <f t="shared" si="280"/>
        <v>0</v>
      </c>
      <c r="K1037" s="304"/>
      <c r="L1037" s="298"/>
      <c r="M1037" s="298">
        <f t="shared" si="281"/>
        <v>0</v>
      </c>
      <c r="N1037" s="16"/>
      <c r="O1037" s="104"/>
      <c r="Q1037" s="281"/>
      <c r="R1037" s="281"/>
      <c r="S1037" s="281"/>
      <c r="T1037" s="281"/>
      <c r="U1037" s="281"/>
    </row>
    <row r="1038" spans="1:21" x14ac:dyDescent="0.3">
      <c r="A1038" s="347" t="str">
        <f t="shared" si="279"/>
        <v>Exclude</v>
      </c>
      <c r="D1038" s="427" t="s">
        <v>1332</v>
      </c>
      <c r="E1038" s="199" t="s">
        <v>943</v>
      </c>
      <c r="F1038" s="200"/>
      <c r="G1038" s="201"/>
      <c r="H1038" s="202" t="s">
        <v>0</v>
      </c>
      <c r="I1038" s="203"/>
      <c r="J1038" s="203"/>
      <c r="K1038" s="304"/>
      <c r="L1038" s="302"/>
      <c r="M1038" s="302">
        <f>IF(K1038="x","Included in Sub Bid",G1038*I1038)</f>
        <v>0</v>
      </c>
      <c r="N1038" s="16"/>
      <c r="O1038" s="104"/>
      <c r="Q1038" s="281"/>
      <c r="R1038" s="281"/>
      <c r="S1038" s="281"/>
      <c r="T1038" s="281"/>
      <c r="U1038" s="281"/>
    </row>
    <row r="1039" spans="1:21" x14ac:dyDescent="0.3">
      <c r="A1039" s="347" t="str">
        <f t="shared" si="279"/>
        <v>Exclude</v>
      </c>
      <c r="D1039" s="427" t="s">
        <v>1332</v>
      </c>
      <c r="E1039" s="199" t="s">
        <v>944</v>
      </c>
      <c r="F1039" s="200"/>
      <c r="G1039" s="201"/>
      <c r="H1039" s="202" t="s">
        <v>0</v>
      </c>
      <c r="I1039" s="203"/>
      <c r="J1039" s="203"/>
      <c r="K1039" s="304"/>
      <c r="L1039" s="302"/>
      <c r="M1039" s="302">
        <f>IF(K1039="x","Included in Sub Bid",G1039*I1039)</f>
        <v>0</v>
      </c>
      <c r="N1039" s="16"/>
      <c r="O1039" s="104"/>
      <c r="Q1039" s="281"/>
      <c r="R1039" s="281"/>
      <c r="S1039" s="281"/>
      <c r="T1039" s="281"/>
      <c r="U1039" s="281"/>
    </row>
    <row r="1040" spans="1:21" ht="12" customHeight="1" x14ac:dyDescent="0.3">
      <c r="A1040" s="347" t="str">
        <f t="shared" si="279"/>
        <v>Exclude</v>
      </c>
      <c r="D1040" s="425"/>
      <c r="E1040" s="36"/>
      <c r="F1040" s="10"/>
      <c r="G1040" s="21"/>
      <c r="H1040" s="12"/>
      <c r="I1040" s="13"/>
      <c r="J1040" s="16"/>
      <c r="K1040" s="304"/>
      <c r="L1040" s="298"/>
      <c r="M1040" s="298"/>
      <c r="N1040" s="16"/>
      <c r="O1040" s="104"/>
      <c r="Q1040" s="281"/>
      <c r="R1040" s="281"/>
      <c r="S1040" s="281"/>
      <c r="T1040" s="281"/>
      <c r="U1040" s="281"/>
    </row>
    <row r="1041" spans="1:21" ht="12" customHeight="1" x14ac:dyDescent="0.3">
      <c r="A1041" s="347" t="str">
        <f t="shared" si="279"/>
        <v>Exclude</v>
      </c>
      <c r="D1041" s="425"/>
      <c r="E1041" s="45"/>
      <c r="F1041" s="10"/>
      <c r="G1041" s="21"/>
      <c r="H1041" s="19"/>
      <c r="I1041" s="13"/>
      <c r="J1041" s="16"/>
      <c r="K1041" s="301"/>
      <c r="L1041" s="298"/>
      <c r="M1041" s="298"/>
      <c r="N1041" s="16"/>
      <c r="O1041" s="114"/>
      <c r="Q1041" s="281"/>
      <c r="R1041" s="281"/>
      <c r="S1041" s="281"/>
      <c r="T1041" s="281"/>
      <c r="U1041" s="281"/>
    </row>
    <row r="1042" spans="1:21" ht="15.5" x14ac:dyDescent="0.35">
      <c r="A1042" s="347" t="str">
        <f>IF(J1042=0,"Exclude","x")</f>
        <v>x</v>
      </c>
      <c r="D1042" s="431"/>
      <c r="E1042" s="68" t="s">
        <v>125</v>
      </c>
      <c r="F1042" s="63"/>
      <c r="G1042" s="64"/>
      <c r="H1042" s="65"/>
      <c r="I1042" s="66"/>
      <c r="J1042" s="66">
        <f>SUBTOTAL(9,J1043:J1208)</f>
        <v>1133.99</v>
      </c>
      <c r="K1042" s="438">
        <f>IFERROR(J1042/$G$6,0)</f>
        <v>0</v>
      </c>
      <c r="L1042" s="311"/>
      <c r="M1042" s="66"/>
      <c r="N1042" s="66">
        <f>+N1043+N1080+N1066+N1107+N1128+N1156+N1170+N1180+N1192+N1200</f>
        <v>1133.99</v>
      </c>
      <c r="O1042" s="317">
        <f>IFERROR(N1042/$G$6,0)</f>
        <v>0</v>
      </c>
      <c r="Q1042" s="281"/>
      <c r="R1042" s="281"/>
      <c r="S1042" s="281"/>
      <c r="T1042" s="281"/>
      <c r="U1042" s="281"/>
    </row>
    <row r="1043" spans="1:21" ht="15.5" x14ac:dyDescent="0.3">
      <c r="A1043" s="347" t="str">
        <f>IF(J1043=0,"Exclude","x")</f>
        <v>Exclude</v>
      </c>
      <c r="D1043" s="424" t="s">
        <v>802</v>
      </c>
      <c r="E1043" s="69" t="s">
        <v>645</v>
      </c>
      <c r="F1043" s="56"/>
      <c r="G1043" s="57"/>
      <c r="H1043" s="58"/>
      <c r="I1043" s="59"/>
      <c r="J1043" s="60">
        <f>SUBTOTAL(9,J1044:J1065)</f>
        <v>0</v>
      </c>
      <c r="K1043" s="59">
        <f>IFERROR(J1043/$G$6,0)</f>
        <v>0</v>
      </c>
      <c r="L1043" s="309"/>
      <c r="M1043" s="60"/>
      <c r="N1043" s="59">
        <f>SUM(M1044:M1065)</f>
        <v>0</v>
      </c>
      <c r="O1043" s="435">
        <f>IFERROR(N1043/$G$6,0)</f>
        <v>0</v>
      </c>
      <c r="Q1043" s="281"/>
      <c r="R1043" s="281"/>
      <c r="S1043" s="281"/>
      <c r="T1043" s="281"/>
      <c r="U1043" s="281"/>
    </row>
    <row r="1044" spans="1:21" x14ac:dyDescent="0.3">
      <c r="A1044" s="347" t="str">
        <f t="shared" ref="A1044:A1065" si="284">A1043</f>
        <v>Exclude</v>
      </c>
      <c r="D1044" s="426" t="s">
        <v>1333</v>
      </c>
      <c r="E1044" s="39" t="s">
        <v>1203</v>
      </c>
      <c r="F1044" s="24"/>
      <c r="G1044" s="292"/>
      <c r="H1044" s="25"/>
      <c r="I1044" s="293"/>
      <c r="J1044" s="293"/>
      <c r="K1044" s="301"/>
      <c r="L1044" s="300">
        <v>0</v>
      </c>
      <c r="M1044" s="301">
        <f>L1044</f>
        <v>0</v>
      </c>
      <c r="N1044" s="293"/>
      <c r="O1044" s="294"/>
      <c r="Q1044" s="282"/>
      <c r="R1044" s="281"/>
      <c r="S1044" s="283"/>
      <c r="T1044" s="283"/>
      <c r="U1044" s="283"/>
    </row>
    <row r="1045" spans="1:21" x14ac:dyDescent="0.3">
      <c r="A1045" s="347" t="str">
        <f t="shared" si="284"/>
        <v>Exclude</v>
      </c>
      <c r="D1045" s="425" t="s">
        <v>1333</v>
      </c>
      <c r="E1045" s="44" t="s">
        <v>126</v>
      </c>
      <c r="F1045" s="31">
        <f>G6*3/831*1.25</f>
        <v>0</v>
      </c>
      <c r="G1045" s="21">
        <f>'Project Info Input'!C101</f>
        <v>0</v>
      </c>
      <c r="H1045" s="19" t="s">
        <v>337</v>
      </c>
      <c r="I1045" s="13">
        <v>16</v>
      </c>
      <c r="J1045" s="16">
        <f>G1045*I1045</f>
        <v>0</v>
      </c>
      <c r="K1045" s="304"/>
      <c r="L1045" s="298"/>
      <c r="M1045" s="298">
        <f t="shared" ref="M1045:M1061" si="285">IF(K1045="x","Included in Sub Bid",J1045)</f>
        <v>0</v>
      </c>
      <c r="N1045" s="16"/>
      <c r="O1045" s="104"/>
      <c r="Q1045" s="281"/>
      <c r="R1045" s="281"/>
      <c r="S1045" s="281"/>
      <c r="T1045" s="281"/>
      <c r="U1045" s="281"/>
    </row>
    <row r="1046" spans="1:21" x14ac:dyDescent="0.3">
      <c r="A1046" s="347" t="str">
        <f t="shared" si="284"/>
        <v>Exclude</v>
      </c>
      <c r="D1046" s="425" t="s">
        <v>1333</v>
      </c>
      <c r="E1046" s="44" t="s">
        <v>1191</v>
      </c>
      <c r="F1046" s="31"/>
      <c r="G1046" s="21">
        <f>'Project Info Input'!C102</f>
        <v>0</v>
      </c>
      <c r="H1046" s="19" t="s">
        <v>337</v>
      </c>
      <c r="I1046" s="13">
        <v>29</v>
      </c>
      <c r="J1046" s="16">
        <f>G1046*I1046</f>
        <v>0</v>
      </c>
      <c r="K1046" s="304"/>
      <c r="L1046" s="298"/>
      <c r="M1046" s="298">
        <f t="shared" si="285"/>
        <v>0</v>
      </c>
      <c r="N1046" s="16"/>
      <c r="O1046" s="104"/>
      <c r="Q1046" s="281"/>
      <c r="R1046" s="281"/>
      <c r="S1046" s="281"/>
      <c r="T1046" s="281"/>
      <c r="U1046" s="281"/>
    </row>
    <row r="1047" spans="1:21" x14ac:dyDescent="0.3">
      <c r="A1047" s="347" t="str">
        <f t="shared" si="284"/>
        <v>Exclude</v>
      </c>
      <c r="D1047" s="425" t="s">
        <v>1333</v>
      </c>
      <c r="E1047" s="44" t="s">
        <v>498</v>
      </c>
      <c r="F1047" s="31"/>
      <c r="G1047" s="21"/>
      <c r="H1047" s="19" t="s">
        <v>2</v>
      </c>
      <c r="I1047" s="13"/>
      <c r="J1047" s="16">
        <f>G1047*I1047</f>
        <v>0</v>
      </c>
      <c r="K1047" s="304"/>
      <c r="L1047" s="298"/>
      <c r="M1047" s="298">
        <f t="shared" si="285"/>
        <v>0</v>
      </c>
      <c r="N1047" s="16"/>
      <c r="O1047" s="104"/>
      <c r="Q1047" s="281"/>
      <c r="R1047" s="281"/>
      <c r="S1047" s="281"/>
      <c r="T1047" s="281"/>
      <c r="U1047" s="281"/>
    </row>
    <row r="1048" spans="1:21" x14ac:dyDescent="0.3">
      <c r="A1048" s="347" t="str">
        <f t="shared" si="284"/>
        <v>Exclude</v>
      </c>
      <c r="D1048" s="425" t="s">
        <v>1333</v>
      </c>
      <c r="E1048" s="44" t="s">
        <v>342</v>
      </c>
      <c r="F1048" s="10" t="s">
        <v>386</v>
      </c>
      <c r="G1048" s="21"/>
      <c r="H1048" s="19" t="s">
        <v>1</v>
      </c>
      <c r="I1048" s="13">
        <v>0.2</v>
      </c>
      <c r="J1048" s="16">
        <f t="shared" ref="J1048:J1054" si="286">G1048*I1048</f>
        <v>0</v>
      </c>
      <c r="K1048" s="304"/>
      <c r="L1048" s="298"/>
      <c r="M1048" s="298">
        <f t="shared" si="285"/>
        <v>0</v>
      </c>
      <c r="N1048" s="16"/>
      <c r="O1048" s="104"/>
      <c r="Q1048" s="281"/>
      <c r="R1048" s="281"/>
      <c r="S1048" s="281"/>
      <c r="T1048" s="281"/>
      <c r="U1048" s="281"/>
    </row>
    <row r="1049" spans="1:21" x14ac:dyDescent="0.3">
      <c r="A1049" s="347" t="str">
        <f t="shared" si="284"/>
        <v>Exclude</v>
      </c>
      <c r="D1049" s="425" t="s">
        <v>1333</v>
      </c>
      <c r="E1049" s="44" t="s">
        <v>342</v>
      </c>
      <c r="F1049" s="10" t="s">
        <v>265</v>
      </c>
      <c r="G1049" s="21">
        <f>G6</f>
        <v>0</v>
      </c>
      <c r="H1049" s="19" t="s">
        <v>1</v>
      </c>
      <c r="I1049" s="13">
        <v>0.12</v>
      </c>
      <c r="J1049" s="16">
        <f t="shared" si="286"/>
        <v>0</v>
      </c>
      <c r="K1049" s="304"/>
      <c r="L1049" s="298"/>
      <c r="M1049" s="298">
        <f t="shared" si="285"/>
        <v>0</v>
      </c>
      <c r="N1049" s="16"/>
      <c r="O1049" s="104"/>
      <c r="Q1049" s="281"/>
      <c r="R1049" s="281"/>
      <c r="S1049" s="281"/>
      <c r="T1049" s="281"/>
      <c r="U1049" s="281"/>
    </row>
    <row r="1050" spans="1:21" x14ac:dyDescent="0.3">
      <c r="A1050" s="347" t="str">
        <f t="shared" si="284"/>
        <v>Exclude</v>
      </c>
      <c r="D1050" s="425" t="s">
        <v>1333</v>
      </c>
      <c r="E1050" s="47" t="s">
        <v>336</v>
      </c>
      <c r="F1050" s="10"/>
      <c r="G1050" s="21"/>
      <c r="H1050" s="19" t="s">
        <v>3</v>
      </c>
      <c r="I1050" s="13"/>
      <c r="J1050" s="16">
        <f t="shared" si="286"/>
        <v>0</v>
      </c>
      <c r="K1050" s="304"/>
      <c r="L1050" s="298"/>
      <c r="M1050" s="298">
        <f t="shared" si="285"/>
        <v>0</v>
      </c>
      <c r="N1050" s="16"/>
      <c r="O1050" s="104"/>
      <c r="Q1050" s="281"/>
      <c r="R1050" s="281"/>
      <c r="S1050" s="281"/>
      <c r="T1050" s="281"/>
      <c r="U1050" s="281"/>
    </row>
    <row r="1051" spans="1:21" x14ac:dyDescent="0.3">
      <c r="A1051" s="347" t="str">
        <f t="shared" si="284"/>
        <v>Exclude</v>
      </c>
      <c r="D1051" s="425" t="s">
        <v>1333</v>
      </c>
      <c r="E1051" s="44" t="s">
        <v>339</v>
      </c>
      <c r="F1051" s="10" t="s">
        <v>1394</v>
      </c>
      <c r="G1051" s="21"/>
      <c r="H1051" s="19" t="s">
        <v>2</v>
      </c>
      <c r="I1051" s="13"/>
      <c r="J1051" s="16">
        <f t="shared" si="286"/>
        <v>0</v>
      </c>
      <c r="K1051" s="304"/>
      <c r="L1051" s="298"/>
      <c r="M1051" s="298">
        <f t="shared" si="285"/>
        <v>0</v>
      </c>
      <c r="N1051" s="16"/>
      <c r="O1051" s="104"/>
      <c r="Q1051" s="281"/>
      <c r="R1051" s="281"/>
      <c r="S1051" s="281"/>
      <c r="T1051" s="281"/>
      <c r="U1051" s="281"/>
    </row>
    <row r="1052" spans="1:21" x14ac:dyDescent="0.3">
      <c r="A1052" s="347" t="str">
        <f t="shared" si="284"/>
        <v>Exclude</v>
      </c>
      <c r="D1052" s="425" t="s">
        <v>1333</v>
      </c>
      <c r="E1052" s="47" t="s">
        <v>336</v>
      </c>
      <c r="F1052" s="10"/>
      <c r="G1052" s="21"/>
      <c r="H1052" s="19" t="s">
        <v>3</v>
      </c>
      <c r="I1052" s="13"/>
      <c r="J1052" s="16">
        <f t="shared" si="286"/>
        <v>0</v>
      </c>
      <c r="K1052" s="304"/>
      <c r="L1052" s="298"/>
      <c r="M1052" s="298">
        <f t="shared" si="285"/>
        <v>0</v>
      </c>
      <c r="N1052" s="16"/>
      <c r="O1052" s="104"/>
      <c r="Q1052" s="281"/>
      <c r="R1052" s="281"/>
      <c r="S1052" s="281"/>
      <c r="T1052" s="281"/>
      <c r="U1052" s="281"/>
    </row>
    <row r="1053" spans="1:21" x14ac:dyDescent="0.3">
      <c r="A1053" s="347" t="str">
        <f t="shared" si="284"/>
        <v>Exclude</v>
      </c>
      <c r="D1053" s="425" t="s">
        <v>1333</v>
      </c>
      <c r="E1053" s="44" t="s">
        <v>165</v>
      </c>
      <c r="F1053" s="10"/>
      <c r="G1053" s="21"/>
      <c r="H1053" s="19" t="s">
        <v>2</v>
      </c>
      <c r="I1053" s="13"/>
      <c r="J1053" s="16">
        <f t="shared" si="286"/>
        <v>0</v>
      </c>
      <c r="K1053" s="304"/>
      <c r="L1053" s="298"/>
      <c r="M1053" s="298">
        <f t="shared" si="285"/>
        <v>0</v>
      </c>
      <c r="N1053" s="16"/>
      <c r="O1053" s="104"/>
      <c r="Q1053" s="281"/>
      <c r="R1053" s="281"/>
      <c r="S1053" s="281"/>
      <c r="T1053" s="281"/>
      <c r="U1053" s="281"/>
    </row>
    <row r="1054" spans="1:21" x14ac:dyDescent="0.3">
      <c r="A1054" s="347" t="str">
        <f t="shared" si="284"/>
        <v>Exclude</v>
      </c>
      <c r="D1054" s="425" t="s">
        <v>1333</v>
      </c>
      <c r="E1054" s="44" t="s">
        <v>419</v>
      </c>
      <c r="F1054" s="10"/>
      <c r="G1054" s="21"/>
      <c r="H1054" s="19" t="s">
        <v>2</v>
      </c>
      <c r="I1054" s="13"/>
      <c r="J1054" s="16">
        <f t="shared" si="286"/>
        <v>0</v>
      </c>
      <c r="K1054" s="304"/>
      <c r="L1054" s="298"/>
      <c r="M1054" s="298">
        <f t="shared" si="285"/>
        <v>0</v>
      </c>
      <c r="N1054" s="16"/>
      <c r="O1054" s="104"/>
      <c r="Q1054" s="281"/>
      <c r="R1054" s="281"/>
      <c r="S1054" s="281"/>
      <c r="T1054" s="281"/>
      <c r="U1054" s="281"/>
    </row>
    <row r="1055" spans="1:21" x14ac:dyDescent="0.3">
      <c r="A1055" s="347" t="str">
        <f t="shared" si="284"/>
        <v>Exclude</v>
      </c>
      <c r="D1055" s="425" t="s">
        <v>1333</v>
      </c>
      <c r="E1055" s="44" t="s">
        <v>1395</v>
      </c>
      <c r="F1055" s="10"/>
      <c r="G1055" s="21"/>
      <c r="H1055" s="19" t="s">
        <v>2</v>
      </c>
      <c r="I1055" s="13"/>
      <c r="J1055" s="16">
        <f t="shared" ref="J1055" si="287">G1055*I1055</f>
        <v>0</v>
      </c>
      <c r="K1055" s="304"/>
      <c r="L1055" s="298"/>
      <c r="M1055" s="298">
        <f t="shared" ref="M1055" si="288">IF(K1055="x","Included in Sub Bid",J1055)</f>
        <v>0</v>
      </c>
      <c r="N1055" s="16"/>
      <c r="O1055" s="104"/>
      <c r="Q1055" s="281"/>
      <c r="R1055" s="281"/>
      <c r="S1055" s="281"/>
      <c r="T1055" s="281"/>
      <c r="U1055" s="281"/>
    </row>
    <row r="1056" spans="1:21" x14ac:dyDescent="0.3">
      <c r="A1056" s="347" t="str">
        <f>A1054</f>
        <v>Exclude</v>
      </c>
      <c r="D1056" s="425" t="s">
        <v>1333</v>
      </c>
      <c r="E1056" s="44" t="s">
        <v>127</v>
      </c>
      <c r="F1056" s="10" t="s">
        <v>1404</v>
      </c>
      <c r="G1056" s="21"/>
      <c r="H1056" s="19" t="s">
        <v>3</v>
      </c>
      <c r="I1056" s="13">
        <v>40</v>
      </c>
      <c r="J1056" s="16">
        <f t="shared" ref="J1056:J1150" si="289">G1056*I1056</f>
        <v>0</v>
      </c>
      <c r="K1056" s="304"/>
      <c r="L1056" s="298"/>
      <c r="M1056" s="298">
        <f t="shared" si="285"/>
        <v>0</v>
      </c>
      <c r="N1056" s="16"/>
      <c r="O1056" s="104"/>
      <c r="Q1056" s="281"/>
      <c r="R1056" s="281"/>
      <c r="S1056" s="281"/>
      <c r="T1056" s="281"/>
      <c r="U1056" s="281"/>
    </row>
    <row r="1057" spans="1:21" x14ac:dyDescent="0.3">
      <c r="A1057" s="347" t="str">
        <f t="shared" si="284"/>
        <v>Exclude</v>
      </c>
      <c r="D1057" s="425" t="s">
        <v>1333</v>
      </c>
      <c r="E1057" s="44" t="s">
        <v>128</v>
      </c>
      <c r="F1057" s="10" t="s">
        <v>1405</v>
      </c>
      <c r="G1057" s="21"/>
      <c r="H1057" s="19" t="s">
        <v>3</v>
      </c>
      <c r="I1057" s="13">
        <v>25</v>
      </c>
      <c r="J1057" s="16">
        <f t="shared" si="289"/>
        <v>0</v>
      </c>
      <c r="K1057" s="304"/>
      <c r="L1057" s="298"/>
      <c r="M1057" s="298">
        <f t="shared" si="285"/>
        <v>0</v>
      </c>
      <c r="N1057" s="16"/>
      <c r="O1057" s="104"/>
      <c r="Q1057" s="281"/>
      <c r="R1057" s="281"/>
      <c r="S1057" s="281"/>
      <c r="T1057" s="281"/>
      <c r="U1057" s="281"/>
    </row>
    <row r="1058" spans="1:21" x14ac:dyDescent="0.3">
      <c r="A1058" s="347" t="str">
        <f t="shared" si="284"/>
        <v>Exclude</v>
      </c>
      <c r="D1058" s="425" t="s">
        <v>1333</v>
      </c>
      <c r="E1058" s="44" t="s">
        <v>1406</v>
      </c>
      <c r="F1058" s="10" t="s">
        <v>1407</v>
      </c>
      <c r="G1058" s="21">
        <f>SUM(G915:G916)</f>
        <v>0</v>
      </c>
      <c r="H1058" s="19" t="s">
        <v>2</v>
      </c>
      <c r="I1058" s="13">
        <v>12000</v>
      </c>
      <c r="J1058" s="16">
        <f t="shared" si="289"/>
        <v>0</v>
      </c>
      <c r="K1058" s="304"/>
      <c r="L1058" s="298"/>
      <c r="M1058" s="298">
        <f t="shared" si="285"/>
        <v>0</v>
      </c>
      <c r="N1058" s="16"/>
      <c r="O1058" s="104"/>
      <c r="Q1058" s="281"/>
      <c r="R1058" s="281"/>
      <c r="S1058" s="281"/>
      <c r="T1058" s="281"/>
      <c r="U1058" s="281"/>
    </row>
    <row r="1059" spans="1:21" x14ac:dyDescent="0.3">
      <c r="A1059" s="347" t="str">
        <f t="shared" si="284"/>
        <v>Exclude</v>
      </c>
      <c r="D1059" s="425" t="s">
        <v>1333</v>
      </c>
      <c r="E1059" s="44" t="s">
        <v>365</v>
      </c>
      <c r="F1059" s="10"/>
      <c r="G1059" s="21"/>
      <c r="H1059" s="19" t="s">
        <v>3</v>
      </c>
      <c r="I1059" s="13"/>
      <c r="J1059" s="16">
        <f t="shared" ref="J1059" si="290">G1059*I1059</f>
        <v>0</v>
      </c>
      <c r="K1059" s="304"/>
      <c r="L1059" s="298"/>
      <c r="M1059" s="298">
        <f t="shared" si="285"/>
        <v>0</v>
      </c>
      <c r="N1059" s="16"/>
      <c r="O1059" s="104"/>
      <c r="Q1059" s="281"/>
      <c r="R1059" s="281"/>
      <c r="S1059" s="281"/>
      <c r="T1059" s="281"/>
      <c r="U1059" s="281"/>
    </row>
    <row r="1060" spans="1:21" x14ac:dyDescent="0.3">
      <c r="A1060" s="347" t="str">
        <f t="shared" si="284"/>
        <v>Exclude</v>
      </c>
      <c r="D1060" s="425" t="s">
        <v>1333</v>
      </c>
      <c r="E1060" s="44" t="s">
        <v>344</v>
      </c>
      <c r="F1060" s="10"/>
      <c r="G1060" s="21"/>
      <c r="H1060" s="19" t="s">
        <v>0</v>
      </c>
      <c r="I1060" s="13"/>
      <c r="J1060" s="16">
        <f t="shared" si="289"/>
        <v>0</v>
      </c>
      <c r="K1060" s="304"/>
      <c r="L1060" s="298"/>
      <c r="M1060" s="298">
        <f t="shared" si="285"/>
        <v>0</v>
      </c>
      <c r="N1060" s="16"/>
      <c r="O1060" s="104"/>
      <c r="Q1060" s="281"/>
      <c r="R1060" s="281"/>
      <c r="S1060" s="281"/>
      <c r="T1060" s="281"/>
      <c r="U1060" s="281"/>
    </row>
    <row r="1061" spans="1:21" x14ac:dyDescent="0.3">
      <c r="A1061" s="347" t="str">
        <f t="shared" si="284"/>
        <v>Exclude</v>
      </c>
      <c r="D1061" s="425" t="s">
        <v>1333</v>
      </c>
      <c r="E1061" s="44" t="s">
        <v>143</v>
      </c>
      <c r="F1061" s="10"/>
      <c r="G1061" s="21"/>
      <c r="H1061" s="19" t="s">
        <v>1</v>
      </c>
      <c r="I1061" s="16"/>
      <c r="J1061" s="16">
        <f>G1061*I1061</f>
        <v>0</v>
      </c>
      <c r="K1061" s="304"/>
      <c r="L1061" s="298"/>
      <c r="M1061" s="298">
        <f t="shared" si="285"/>
        <v>0</v>
      </c>
      <c r="N1061" s="16"/>
      <c r="O1061" s="104"/>
      <c r="Q1061" s="281"/>
      <c r="R1061" s="281"/>
      <c r="S1061" s="281"/>
      <c r="T1061" s="281"/>
      <c r="U1061" s="281"/>
    </row>
    <row r="1062" spans="1:21" x14ac:dyDescent="0.3">
      <c r="A1062" s="347" t="str">
        <f t="shared" si="284"/>
        <v>Exclude</v>
      </c>
      <c r="D1062" s="427" t="s">
        <v>1333</v>
      </c>
      <c r="E1062" s="199" t="s">
        <v>943</v>
      </c>
      <c r="F1062" s="200"/>
      <c r="G1062" s="201"/>
      <c r="H1062" s="202" t="s">
        <v>0</v>
      </c>
      <c r="I1062" s="203"/>
      <c r="J1062" s="203"/>
      <c r="K1062" s="304"/>
      <c r="L1062" s="302"/>
      <c r="M1062" s="302">
        <f>IF(K1062="x","Included in Sub Bid",G1062*I1062)</f>
        <v>0</v>
      </c>
      <c r="N1062" s="16"/>
      <c r="O1062" s="104"/>
      <c r="Q1062" s="281"/>
      <c r="R1062" s="281"/>
      <c r="S1062" s="281"/>
      <c r="T1062" s="281"/>
      <c r="U1062" s="281"/>
    </row>
    <row r="1063" spans="1:21" x14ac:dyDescent="0.3">
      <c r="A1063" s="347" t="str">
        <f t="shared" si="284"/>
        <v>Exclude</v>
      </c>
      <c r="D1063" s="427" t="s">
        <v>1333</v>
      </c>
      <c r="E1063" s="199" t="s">
        <v>944</v>
      </c>
      <c r="F1063" s="200"/>
      <c r="G1063" s="201"/>
      <c r="H1063" s="202" t="s">
        <v>0</v>
      </c>
      <c r="I1063" s="203"/>
      <c r="J1063" s="203"/>
      <c r="K1063" s="304"/>
      <c r="L1063" s="302"/>
      <c r="M1063" s="302">
        <f>IF(K1063="x","Included in Sub Bid",G1063*I1063)</f>
        <v>0</v>
      </c>
      <c r="N1063" s="16"/>
      <c r="O1063" s="104"/>
      <c r="Q1063" s="281"/>
      <c r="R1063" s="281"/>
      <c r="S1063" s="281"/>
      <c r="T1063" s="281"/>
      <c r="U1063" s="281"/>
    </row>
    <row r="1064" spans="1:21" x14ac:dyDescent="0.3">
      <c r="A1064" s="347" t="str">
        <f t="shared" si="284"/>
        <v>Exclude</v>
      </c>
      <c r="D1064" s="425"/>
      <c r="E1064" s="44"/>
      <c r="F1064" s="10"/>
      <c r="G1064" s="21"/>
      <c r="H1064" s="19"/>
      <c r="I1064" s="16"/>
      <c r="J1064" s="16"/>
      <c r="K1064" s="304"/>
      <c r="L1064" s="298"/>
      <c r="M1064" s="298"/>
      <c r="N1064" s="16"/>
      <c r="O1064" s="104"/>
      <c r="Q1064" s="281"/>
      <c r="R1064" s="281"/>
      <c r="S1064" s="281"/>
      <c r="T1064" s="281"/>
      <c r="U1064" s="281"/>
    </row>
    <row r="1065" spans="1:21" x14ac:dyDescent="0.3">
      <c r="A1065" s="347" t="str">
        <f t="shared" si="284"/>
        <v>Exclude</v>
      </c>
      <c r="D1065" s="425"/>
      <c r="E1065" s="33"/>
      <c r="F1065" s="10"/>
      <c r="G1065" s="21"/>
      <c r="H1065" s="12"/>
      <c r="I1065" s="13"/>
      <c r="J1065" s="16"/>
      <c r="K1065" s="301"/>
      <c r="L1065" s="298"/>
      <c r="M1065" s="298"/>
      <c r="N1065" s="16"/>
      <c r="O1065" s="104"/>
      <c r="Q1065" s="281"/>
      <c r="R1065" s="281"/>
      <c r="S1065" s="281"/>
      <c r="T1065" s="281"/>
      <c r="U1065" s="281"/>
    </row>
    <row r="1066" spans="1:21" ht="15.5" x14ac:dyDescent="0.3">
      <c r="A1066" s="347" t="str">
        <f>IF(J1066=0,"Exclude","x")</f>
        <v>Exclude</v>
      </c>
      <c r="D1066" s="424" t="s">
        <v>802</v>
      </c>
      <c r="E1066" s="69" t="s">
        <v>647</v>
      </c>
      <c r="F1066" s="56"/>
      <c r="G1066" s="57"/>
      <c r="H1066" s="58"/>
      <c r="I1066" s="59"/>
      <c r="J1066" s="60">
        <f>SUBTOTAL(9,J1067:J1079)</f>
        <v>0</v>
      </c>
      <c r="K1066" s="59">
        <f>IFERROR(J1066/$G$6,0)</f>
        <v>0</v>
      </c>
      <c r="L1066" s="309"/>
      <c r="M1066" s="60"/>
      <c r="N1066" s="59">
        <f>SUM(M1067:M1079)</f>
        <v>0</v>
      </c>
      <c r="O1066" s="435">
        <f>IFERROR(N1066/$G$6,0)</f>
        <v>0</v>
      </c>
      <c r="Q1066" s="281"/>
      <c r="R1066" s="281"/>
      <c r="S1066" s="281"/>
      <c r="T1066" s="281"/>
      <c r="U1066" s="281"/>
    </row>
    <row r="1067" spans="1:21" x14ac:dyDescent="0.3">
      <c r="A1067" s="347" t="str">
        <f t="shared" ref="A1067:A1079" si="291">A1066</f>
        <v>Exclude</v>
      </c>
      <c r="D1067" s="426" t="s">
        <v>1334</v>
      </c>
      <c r="E1067" s="39" t="s">
        <v>1203</v>
      </c>
      <c r="F1067" s="24"/>
      <c r="G1067" s="292"/>
      <c r="H1067" s="25"/>
      <c r="I1067" s="293"/>
      <c r="J1067" s="293"/>
      <c r="K1067" s="301"/>
      <c r="L1067" s="300">
        <v>0</v>
      </c>
      <c r="M1067" s="301">
        <f>L1067</f>
        <v>0</v>
      </c>
      <c r="N1067" s="293"/>
      <c r="O1067" s="294"/>
      <c r="Q1067" s="282"/>
      <c r="R1067" s="281"/>
      <c r="S1067" s="283"/>
      <c r="T1067" s="283"/>
      <c r="U1067" s="283"/>
    </row>
    <row r="1068" spans="1:21" x14ac:dyDescent="0.3">
      <c r="A1068" s="347" t="str">
        <f t="shared" si="291"/>
        <v>Exclude</v>
      </c>
      <c r="D1068" s="425" t="s">
        <v>1334</v>
      </c>
      <c r="E1068" s="44" t="s">
        <v>130</v>
      </c>
      <c r="F1068" s="10"/>
      <c r="G1068" s="21"/>
      <c r="H1068" s="12" t="s">
        <v>2</v>
      </c>
      <c r="I1068" s="13"/>
      <c r="J1068" s="16">
        <f>G1068*I1068</f>
        <v>0</v>
      </c>
      <c r="K1068" s="304"/>
      <c r="L1068" s="298"/>
      <c r="M1068" s="298">
        <f t="shared" ref="M1068:M1074" si="292">IF(K1068="x","Included in Sub Bid",J1068)</f>
        <v>0</v>
      </c>
      <c r="N1068" s="16"/>
      <c r="O1068" s="104"/>
      <c r="Q1068" s="281"/>
      <c r="R1068" s="281"/>
      <c r="S1068" s="281"/>
      <c r="T1068" s="281"/>
      <c r="U1068" s="281"/>
    </row>
    <row r="1069" spans="1:21" x14ac:dyDescent="0.3">
      <c r="A1069" s="347" t="str">
        <f t="shared" si="291"/>
        <v>Exclude</v>
      </c>
      <c r="D1069" s="425" t="s">
        <v>1334</v>
      </c>
      <c r="E1069" s="44" t="s">
        <v>131</v>
      </c>
      <c r="F1069" s="10"/>
      <c r="G1069" s="21">
        <f>G626+G627</f>
        <v>0</v>
      </c>
      <c r="H1069" s="12" t="s">
        <v>2</v>
      </c>
      <c r="I1069" s="13">
        <v>650</v>
      </c>
      <c r="J1069" s="16">
        <f>G1069*I1069</f>
        <v>0</v>
      </c>
      <c r="K1069" s="304"/>
      <c r="L1069" s="298"/>
      <c r="M1069" s="298">
        <f t="shared" si="292"/>
        <v>0</v>
      </c>
      <c r="N1069" s="16"/>
      <c r="O1069" s="104"/>
      <c r="Q1069" s="281"/>
      <c r="R1069" s="281"/>
      <c r="S1069" s="281"/>
      <c r="T1069" s="281"/>
      <c r="U1069" s="281"/>
    </row>
    <row r="1070" spans="1:21" x14ac:dyDescent="0.3">
      <c r="A1070" s="347" t="str">
        <f t="shared" si="291"/>
        <v>Exclude</v>
      </c>
      <c r="D1070" s="425" t="s">
        <v>1334</v>
      </c>
      <c r="E1070" s="44" t="s">
        <v>382</v>
      </c>
      <c r="F1070" s="10"/>
      <c r="G1070" s="21">
        <f>'Project Info Input'!C35/100</f>
        <v>0</v>
      </c>
      <c r="H1070" s="12" t="s">
        <v>2</v>
      </c>
      <c r="I1070" s="13">
        <v>1800</v>
      </c>
      <c r="J1070" s="16">
        <f>G1070*I1070</f>
        <v>0</v>
      </c>
      <c r="K1070" s="304"/>
      <c r="L1070" s="298"/>
      <c r="M1070" s="298">
        <f t="shared" si="292"/>
        <v>0</v>
      </c>
      <c r="N1070" s="16"/>
      <c r="O1070" s="104"/>
      <c r="Q1070" s="281"/>
      <c r="R1070" s="281"/>
      <c r="S1070" s="281"/>
      <c r="T1070" s="281"/>
      <c r="U1070" s="281"/>
    </row>
    <row r="1071" spans="1:21" x14ac:dyDescent="0.3">
      <c r="A1071" s="347" t="str">
        <f t="shared" si="291"/>
        <v>Exclude</v>
      </c>
      <c r="D1071" s="425" t="s">
        <v>1334</v>
      </c>
      <c r="E1071" s="44" t="s">
        <v>139</v>
      </c>
      <c r="F1071" s="10"/>
      <c r="G1071" s="21"/>
      <c r="H1071" s="19" t="s">
        <v>2</v>
      </c>
      <c r="I1071" s="16"/>
      <c r="J1071" s="16">
        <f>G1071*I1071</f>
        <v>0</v>
      </c>
      <c r="K1071" s="304"/>
      <c r="L1071" s="298"/>
      <c r="M1071" s="298">
        <f t="shared" si="292"/>
        <v>0</v>
      </c>
      <c r="N1071" s="16"/>
      <c r="O1071" s="104"/>
      <c r="Q1071" s="281"/>
      <c r="R1071" s="281"/>
      <c r="S1071" s="281"/>
      <c r="T1071" s="281"/>
      <c r="U1071" s="281"/>
    </row>
    <row r="1072" spans="1:21" x14ac:dyDescent="0.3">
      <c r="A1072" s="347" t="str">
        <f t="shared" si="291"/>
        <v>Exclude</v>
      </c>
      <c r="D1072" s="425" t="s">
        <v>1334</v>
      </c>
      <c r="E1072" s="44" t="s">
        <v>353</v>
      </c>
      <c r="F1072" s="10"/>
      <c r="G1072" s="21"/>
      <c r="H1072" s="12" t="s">
        <v>2</v>
      </c>
      <c r="I1072" s="16"/>
      <c r="J1072" s="16">
        <f>G1072*I1072</f>
        <v>0</v>
      </c>
      <c r="K1072" s="304"/>
      <c r="L1072" s="298"/>
      <c r="M1072" s="298">
        <f t="shared" si="292"/>
        <v>0</v>
      </c>
      <c r="N1072" s="16"/>
      <c r="O1072" s="104"/>
      <c r="Q1072" s="281"/>
      <c r="R1072" s="281"/>
      <c r="S1072" s="281"/>
      <c r="T1072" s="281"/>
      <c r="U1072" s="281"/>
    </row>
    <row r="1073" spans="1:21" x14ac:dyDescent="0.3">
      <c r="A1073" s="347" t="str">
        <f t="shared" si="291"/>
        <v>Exclude</v>
      </c>
      <c r="D1073" s="425" t="s">
        <v>1334</v>
      </c>
      <c r="E1073" s="44" t="s">
        <v>354</v>
      </c>
      <c r="F1073" s="10" t="s">
        <v>499</v>
      </c>
      <c r="G1073" s="21"/>
      <c r="H1073" s="12" t="s">
        <v>2</v>
      </c>
      <c r="I1073" s="16">
        <v>6000</v>
      </c>
      <c r="J1073" s="16">
        <f t="shared" ref="J1073" si="293">G1073*I1073</f>
        <v>0</v>
      </c>
      <c r="K1073" s="304"/>
      <c r="L1073" s="298"/>
      <c r="M1073" s="298">
        <f t="shared" si="292"/>
        <v>0</v>
      </c>
      <c r="N1073" s="16"/>
      <c r="O1073" s="104"/>
      <c r="Q1073" s="281"/>
      <c r="R1073" s="281"/>
      <c r="S1073" s="281"/>
      <c r="T1073" s="281"/>
      <c r="U1073" s="281"/>
    </row>
    <row r="1074" spans="1:21" x14ac:dyDescent="0.3">
      <c r="A1074" s="347" t="str">
        <f t="shared" si="291"/>
        <v>Exclude</v>
      </c>
      <c r="D1074" s="425" t="s">
        <v>1334</v>
      </c>
      <c r="E1074" s="44" t="s">
        <v>354</v>
      </c>
      <c r="F1074" s="10" t="s">
        <v>500</v>
      </c>
      <c r="G1074" s="21"/>
      <c r="H1074" s="12" t="s">
        <v>2</v>
      </c>
      <c r="I1074" s="16">
        <v>7500</v>
      </c>
      <c r="J1074" s="16">
        <f t="shared" ref="J1074" si="294">G1074*I1074</f>
        <v>0</v>
      </c>
      <c r="K1074" s="304"/>
      <c r="L1074" s="298"/>
      <c r="M1074" s="298">
        <f t="shared" si="292"/>
        <v>0</v>
      </c>
      <c r="N1074" s="16"/>
      <c r="O1074" s="104"/>
      <c r="Q1074" s="281"/>
      <c r="R1074" s="281"/>
      <c r="S1074" s="281"/>
      <c r="T1074" s="281"/>
      <c r="U1074" s="281"/>
    </row>
    <row r="1075" spans="1:21" x14ac:dyDescent="0.3">
      <c r="A1075" s="347" t="str">
        <f t="shared" si="291"/>
        <v>Exclude</v>
      </c>
      <c r="D1075" s="425" t="s">
        <v>1334</v>
      </c>
      <c r="E1075" s="44" t="s">
        <v>1389</v>
      </c>
      <c r="F1075" s="10"/>
      <c r="G1075" s="21"/>
      <c r="H1075" s="12" t="s">
        <v>2</v>
      </c>
      <c r="I1075" s="16">
        <v>1200</v>
      </c>
      <c r="J1075" s="16">
        <f t="shared" ref="J1075" si="295">G1075*I1075</f>
        <v>0</v>
      </c>
      <c r="K1075" s="304"/>
      <c r="L1075" s="298"/>
      <c r="M1075" s="298">
        <f t="shared" ref="M1075" si="296">IF(K1075="x","Included in Sub Bid",J1075)</f>
        <v>0</v>
      </c>
      <c r="N1075" s="16"/>
      <c r="O1075" s="104"/>
      <c r="Q1075" s="281"/>
      <c r="R1075" s="281"/>
      <c r="S1075" s="281"/>
      <c r="T1075" s="281"/>
      <c r="U1075" s="281"/>
    </row>
    <row r="1076" spans="1:21" x14ac:dyDescent="0.3">
      <c r="A1076" s="347" t="str">
        <f>A1074</f>
        <v>Exclude</v>
      </c>
      <c r="D1076" s="427" t="s">
        <v>1334</v>
      </c>
      <c r="E1076" s="199" t="s">
        <v>943</v>
      </c>
      <c r="F1076" s="200"/>
      <c r="G1076" s="201"/>
      <c r="H1076" s="202" t="s">
        <v>0</v>
      </c>
      <c r="I1076" s="203"/>
      <c r="J1076" s="203"/>
      <c r="K1076" s="304"/>
      <c r="L1076" s="302"/>
      <c r="M1076" s="302">
        <f>IF(K1076="x","Included in Sub Bid",G1076*I1076)</f>
        <v>0</v>
      </c>
      <c r="N1076" s="16"/>
      <c r="O1076" s="104"/>
      <c r="Q1076" s="281"/>
      <c r="R1076" s="281"/>
      <c r="S1076" s="281"/>
      <c r="T1076" s="281"/>
      <c r="U1076" s="281"/>
    </row>
    <row r="1077" spans="1:21" x14ac:dyDescent="0.3">
      <c r="A1077" s="347" t="str">
        <f t="shared" si="291"/>
        <v>Exclude</v>
      </c>
      <c r="D1077" s="427" t="s">
        <v>1334</v>
      </c>
      <c r="E1077" s="199" t="s">
        <v>944</v>
      </c>
      <c r="F1077" s="200"/>
      <c r="G1077" s="201"/>
      <c r="H1077" s="202" t="s">
        <v>0</v>
      </c>
      <c r="I1077" s="203"/>
      <c r="J1077" s="203"/>
      <c r="K1077" s="304"/>
      <c r="L1077" s="302"/>
      <c r="M1077" s="302">
        <f>IF(K1077="x","Included in Sub Bid",G1077*I1077)</f>
        <v>0</v>
      </c>
      <c r="N1077" s="16"/>
      <c r="O1077" s="104"/>
      <c r="Q1077" s="281"/>
      <c r="R1077" s="281"/>
      <c r="S1077" s="281"/>
      <c r="T1077" s="281"/>
      <c r="U1077" s="281"/>
    </row>
    <row r="1078" spans="1:21" x14ac:dyDescent="0.3">
      <c r="A1078" s="347" t="str">
        <f t="shared" si="291"/>
        <v>Exclude</v>
      </c>
      <c r="D1078" s="425"/>
      <c r="E1078" s="44"/>
      <c r="F1078" s="10"/>
      <c r="G1078" s="21"/>
      <c r="H1078" s="12"/>
      <c r="I1078" s="16"/>
      <c r="J1078" s="16"/>
      <c r="K1078" s="304"/>
      <c r="L1078" s="298"/>
      <c r="M1078" s="298"/>
      <c r="N1078" s="16"/>
      <c r="O1078" s="104"/>
      <c r="Q1078" s="281"/>
      <c r="R1078" s="281"/>
      <c r="S1078" s="281"/>
      <c r="T1078" s="281"/>
      <c r="U1078" s="281"/>
    </row>
    <row r="1079" spans="1:21" x14ac:dyDescent="0.3">
      <c r="A1079" s="347" t="str">
        <f t="shared" si="291"/>
        <v>Exclude</v>
      </c>
      <c r="D1079" s="425"/>
      <c r="E1079" s="36"/>
      <c r="F1079" s="10"/>
      <c r="G1079" s="21"/>
      <c r="H1079" s="12"/>
      <c r="I1079" s="16"/>
      <c r="J1079" s="16"/>
      <c r="K1079" s="301"/>
      <c r="L1079" s="298"/>
      <c r="M1079" s="298"/>
      <c r="N1079" s="16"/>
      <c r="O1079" s="104"/>
      <c r="Q1079" s="281"/>
      <c r="R1079" s="281"/>
      <c r="S1079" s="281"/>
      <c r="T1079" s="281"/>
      <c r="U1079" s="281"/>
    </row>
    <row r="1080" spans="1:21" ht="15.5" x14ac:dyDescent="0.3">
      <c r="A1080" s="347" t="str">
        <f>IF(J1080=0,"Exclude","x")</f>
        <v>Exclude</v>
      </c>
      <c r="D1080" s="424" t="s">
        <v>802</v>
      </c>
      <c r="E1080" s="69" t="s">
        <v>646</v>
      </c>
      <c r="F1080" s="56"/>
      <c r="G1080" s="57"/>
      <c r="H1080" s="58"/>
      <c r="I1080" s="59"/>
      <c r="J1080" s="60">
        <f>SUBTOTAL(9,J1081:J1106)</f>
        <v>0</v>
      </c>
      <c r="K1080" s="59">
        <f>IFERROR(J1080/$G$6,0)</f>
        <v>0</v>
      </c>
      <c r="L1080" s="309"/>
      <c r="M1080" s="60"/>
      <c r="N1080" s="59">
        <f>SUM(M1081:M1106)</f>
        <v>0</v>
      </c>
      <c r="O1080" s="435">
        <f>IFERROR(N1080/$G$6,0)</f>
        <v>0</v>
      </c>
      <c r="Q1080" s="281"/>
      <c r="R1080" s="281"/>
      <c r="S1080" s="281"/>
      <c r="T1080" s="281"/>
      <c r="U1080" s="281"/>
    </row>
    <row r="1081" spans="1:21" x14ac:dyDescent="0.3">
      <c r="A1081" s="347" t="str">
        <f t="shared" ref="A1081:A1106" si="297">A1080</f>
        <v>Exclude</v>
      </c>
      <c r="D1081" s="426" t="s">
        <v>1333</v>
      </c>
      <c r="E1081" s="39" t="s">
        <v>1203</v>
      </c>
      <c r="F1081" s="24"/>
      <c r="G1081" s="292"/>
      <c r="H1081" s="25"/>
      <c r="I1081" s="293"/>
      <c r="J1081" s="293"/>
      <c r="K1081" s="301"/>
      <c r="L1081" s="300">
        <v>0</v>
      </c>
      <c r="M1081" s="301">
        <f>L1081</f>
        <v>0</v>
      </c>
      <c r="N1081" s="293"/>
      <c r="O1081" s="294"/>
      <c r="Q1081" s="282"/>
      <c r="R1081" s="281"/>
      <c r="S1081" s="283"/>
      <c r="T1081" s="283"/>
      <c r="U1081" s="283"/>
    </row>
    <row r="1082" spans="1:21" x14ac:dyDescent="0.3">
      <c r="A1082" s="347" t="str">
        <f t="shared" si="297"/>
        <v>Exclude</v>
      </c>
      <c r="D1082" s="425" t="s">
        <v>1333</v>
      </c>
      <c r="E1082" s="44" t="s">
        <v>338</v>
      </c>
      <c r="F1082" s="10"/>
      <c r="G1082" s="21">
        <f>'Project Info Input'!C103</f>
        <v>0</v>
      </c>
      <c r="H1082" s="19" t="s">
        <v>2</v>
      </c>
      <c r="I1082" s="16">
        <v>600</v>
      </c>
      <c r="J1082" s="16">
        <f t="shared" ref="J1082:J1102" si="298">G1082*I1082</f>
        <v>0</v>
      </c>
      <c r="K1082" s="304"/>
      <c r="L1082" s="298"/>
      <c r="M1082" s="298">
        <f t="shared" ref="M1082:M1102" si="299">IF(K1082="x","Included in Sub Bid",J1082)</f>
        <v>0</v>
      </c>
      <c r="N1082" s="16"/>
      <c r="O1082" s="104"/>
      <c r="Q1082" s="281"/>
      <c r="R1082" s="281"/>
      <c r="S1082" s="281"/>
      <c r="T1082" s="281"/>
      <c r="U1082" s="281"/>
    </row>
    <row r="1083" spans="1:21" x14ac:dyDescent="0.3">
      <c r="A1083" s="347" t="str">
        <f t="shared" si="297"/>
        <v>Exclude</v>
      </c>
      <c r="D1083" s="425" t="s">
        <v>1333</v>
      </c>
      <c r="E1083" s="44" t="s">
        <v>398</v>
      </c>
      <c r="F1083" s="10"/>
      <c r="G1083" s="21">
        <f>'Project Info Input'!C104</f>
        <v>0</v>
      </c>
      <c r="H1083" s="19" t="s">
        <v>2</v>
      </c>
      <c r="I1083" s="16">
        <v>600</v>
      </c>
      <c r="J1083" s="16">
        <f t="shared" si="298"/>
        <v>0</v>
      </c>
      <c r="K1083" s="304"/>
      <c r="L1083" s="298"/>
      <c r="M1083" s="298">
        <f t="shared" si="299"/>
        <v>0</v>
      </c>
      <c r="N1083" s="16"/>
      <c r="O1083" s="104"/>
      <c r="Q1083" s="281"/>
      <c r="R1083" s="281"/>
      <c r="S1083" s="281"/>
      <c r="T1083" s="281"/>
      <c r="U1083" s="281"/>
    </row>
    <row r="1084" spans="1:21" x14ac:dyDescent="0.3">
      <c r="A1084" s="347" t="str">
        <f>A1083</f>
        <v>Exclude</v>
      </c>
      <c r="D1084" s="425" t="s">
        <v>1333</v>
      </c>
      <c r="E1084" s="44" t="s">
        <v>335</v>
      </c>
      <c r="F1084" s="10"/>
      <c r="G1084" s="21"/>
      <c r="H1084" s="19" t="s">
        <v>2</v>
      </c>
      <c r="I1084" s="16"/>
      <c r="J1084" s="16">
        <f t="shared" si="298"/>
        <v>0</v>
      </c>
      <c r="K1084" s="304"/>
      <c r="L1084" s="298"/>
      <c r="M1084" s="298">
        <f t="shared" si="299"/>
        <v>0</v>
      </c>
      <c r="N1084" s="16"/>
      <c r="O1084" s="104"/>
      <c r="Q1084" s="281"/>
      <c r="R1084" s="281"/>
      <c r="S1084" s="281"/>
      <c r="T1084" s="281"/>
      <c r="U1084" s="281"/>
    </row>
    <row r="1085" spans="1:21" x14ac:dyDescent="0.3">
      <c r="A1085" s="347" t="str">
        <f t="shared" si="297"/>
        <v>Exclude</v>
      </c>
      <c r="D1085" s="425" t="s">
        <v>1333</v>
      </c>
      <c r="E1085" s="44" t="s">
        <v>591</v>
      </c>
      <c r="F1085" s="10"/>
      <c r="G1085" s="21"/>
      <c r="H1085" s="19" t="s">
        <v>2</v>
      </c>
      <c r="I1085" s="16"/>
      <c r="J1085" s="16">
        <f t="shared" ref="J1085" si="300">G1085*I1085</f>
        <v>0</v>
      </c>
      <c r="K1085" s="304"/>
      <c r="L1085" s="298"/>
      <c r="M1085" s="298">
        <f t="shared" si="299"/>
        <v>0</v>
      </c>
      <c r="N1085" s="16"/>
      <c r="O1085" s="104"/>
      <c r="Q1085" s="281"/>
      <c r="R1085" s="281"/>
      <c r="S1085" s="281"/>
      <c r="T1085" s="281"/>
      <c r="U1085" s="281"/>
    </row>
    <row r="1086" spans="1:21" x14ac:dyDescent="0.3">
      <c r="A1086" s="347" t="str">
        <f t="shared" si="297"/>
        <v>Exclude</v>
      </c>
      <c r="D1086" s="425" t="s">
        <v>1333</v>
      </c>
      <c r="E1086" s="44" t="s">
        <v>465</v>
      </c>
      <c r="F1086" s="10"/>
      <c r="G1086" s="21"/>
      <c r="H1086" s="19" t="s">
        <v>3</v>
      </c>
      <c r="I1086" s="16"/>
      <c r="J1086" s="16">
        <f t="shared" si="298"/>
        <v>0</v>
      </c>
      <c r="K1086" s="304"/>
      <c r="L1086" s="298"/>
      <c r="M1086" s="298">
        <f t="shared" si="299"/>
        <v>0</v>
      </c>
      <c r="N1086" s="16"/>
      <c r="O1086" s="104"/>
      <c r="Q1086" s="281"/>
      <c r="R1086" s="281"/>
      <c r="S1086" s="281"/>
      <c r="T1086" s="281"/>
      <c r="U1086" s="281"/>
    </row>
    <row r="1087" spans="1:21" x14ac:dyDescent="0.3">
      <c r="A1087" s="347" t="str">
        <f t="shared" si="297"/>
        <v>Exclude</v>
      </c>
      <c r="D1087" s="425" t="s">
        <v>1333</v>
      </c>
      <c r="E1087" s="44" t="s">
        <v>474</v>
      </c>
      <c r="F1087" s="10"/>
      <c r="G1087" s="21"/>
      <c r="H1087" s="19" t="s">
        <v>3</v>
      </c>
      <c r="I1087" s="16"/>
      <c r="J1087" s="16">
        <f t="shared" ref="J1087" si="301">G1087*I1087</f>
        <v>0</v>
      </c>
      <c r="K1087" s="304"/>
      <c r="L1087" s="298"/>
      <c r="M1087" s="298">
        <f t="shared" si="299"/>
        <v>0</v>
      </c>
      <c r="N1087" s="16"/>
      <c r="O1087" s="104"/>
      <c r="Q1087" s="281"/>
      <c r="R1087" s="281"/>
      <c r="S1087" s="281"/>
      <c r="T1087" s="281"/>
      <c r="U1087" s="281"/>
    </row>
    <row r="1088" spans="1:21" x14ac:dyDescent="0.3">
      <c r="A1088" s="347" t="str">
        <f t="shared" si="297"/>
        <v>Exclude</v>
      </c>
      <c r="D1088" s="425" t="s">
        <v>1333</v>
      </c>
      <c r="E1088" s="44" t="s">
        <v>407</v>
      </c>
      <c r="F1088" s="10"/>
      <c r="G1088" s="21"/>
      <c r="H1088" s="19" t="s">
        <v>0</v>
      </c>
      <c r="I1088" s="16"/>
      <c r="J1088" s="16">
        <f t="shared" si="298"/>
        <v>0</v>
      </c>
      <c r="K1088" s="304"/>
      <c r="L1088" s="298"/>
      <c r="M1088" s="298">
        <f t="shared" si="299"/>
        <v>0</v>
      </c>
      <c r="N1088" s="16"/>
      <c r="O1088" s="104"/>
      <c r="Q1088" s="281"/>
      <c r="R1088" s="281"/>
      <c r="S1088" s="281"/>
      <c r="T1088" s="281"/>
      <c r="U1088" s="281"/>
    </row>
    <row r="1089" spans="1:21" x14ac:dyDescent="0.3">
      <c r="A1089" s="347" t="str">
        <f t="shared" si="297"/>
        <v>Exclude</v>
      </c>
      <c r="D1089" s="425" t="s">
        <v>1333</v>
      </c>
      <c r="E1089" s="44" t="s">
        <v>281</v>
      </c>
      <c r="F1089" s="10"/>
      <c r="G1089" s="21"/>
      <c r="H1089" s="19" t="s">
        <v>2</v>
      </c>
      <c r="I1089" s="16"/>
      <c r="J1089" s="16">
        <f t="shared" si="298"/>
        <v>0</v>
      </c>
      <c r="K1089" s="304"/>
      <c r="L1089" s="298"/>
      <c r="M1089" s="298">
        <f t="shared" si="299"/>
        <v>0</v>
      </c>
      <c r="N1089" s="16"/>
      <c r="O1089" s="104"/>
      <c r="Q1089" s="281"/>
      <c r="R1089" s="281"/>
      <c r="S1089" s="281"/>
      <c r="T1089" s="281"/>
      <c r="U1089" s="281"/>
    </row>
    <row r="1090" spans="1:21" x14ac:dyDescent="0.3">
      <c r="A1090" s="347" t="str">
        <f t="shared" si="297"/>
        <v>Exclude</v>
      </c>
      <c r="D1090" s="425" t="s">
        <v>1333</v>
      </c>
      <c r="E1090" s="44" t="s">
        <v>302</v>
      </c>
      <c r="F1090" s="10"/>
      <c r="G1090" s="21">
        <f>G998</f>
        <v>0</v>
      </c>
      <c r="H1090" s="19" t="s">
        <v>2</v>
      </c>
      <c r="I1090" s="13">
        <v>1500</v>
      </c>
      <c r="J1090" s="16">
        <f>G1090*I1090</f>
        <v>0</v>
      </c>
      <c r="K1090" s="304"/>
      <c r="L1090" s="298"/>
      <c r="M1090" s="298">
        <f t="shared" si="299"/>
        <v>0</v>
      </c>
      <c r="N1090" s="16"/>
      <c r="O1090" s="104"/>
      <c r="Q1090" s="281"/>
      <c r="R1090" s="281"/>
      <c r="S1090" s="281"/>
      <c r="T1090" s="281"/>
      <c r="U1090" s="281"/>
    </row>
    <row r="1091" spans="1:21" x14ac:dyDescent="0.3">
      <c r="A1091" s="347" t="str">
        <f t="shared" si="297"/>
        <v>Exclude</v>
      </c>
      <c r="D1091" s="425" t="s">
        <v>1333</v>
      </c>
      <c r="E1091" s="44" t="s">
        <v>794</v>
      </c>
      <c r="F1091" s="10"/>
      <c r="G1091" s="21">
        <f>G654</f>
        <v>0</v>
      </c>
      <c r="H1091" s="19" t="s">
        <v>2</v>
      </c>
      <c r="I1091" s="13">
        <v>1250</v>
      </c>
      <c r="J1091" s="16">
        <f>G1091*I1091</f>
        <v>0</v>
      </c>
      <c r="K1091" s="304"/>
      <c r="L1091" s="298"/>
      <c r="M1091" s="298">
        <f t="shared" si="299"/>
        <v>0</v>
      </c>
      <c r="N1091" s="16"/>
      <c r="O1091" s="104"/>
      <c r="Q1091" s="281"/>
      <c r="R1091" s="281"/>
      <c r="S1091" s="281"/>
      <c r="T1091" s="281"/>
      <c r="U1091" s="281"/>
    </row>
    <row r="1092" spans="1:21" x14ac:dyDescent="0.3">
      <c r="A1092" s="347" t="str">
        <f t="shared" si="297"/>
        <v>Exclude</v>
      </c>
      <c r="D1092" s="425" t="s">
        <v>1333</v>
      </c>
      <c r="E1092" s="44" t="s">
        <v>795</v>
      </c>
      <c r="F1092" s="10"/>
      <c r="G1092" s="21">
        <f>SUM(G835:G836)</f>
        <v>0</v>
      </c>
      <c r="H1092" s="19" t="s">
        <v>2</v>
      </c>
      <c r="I1092" s="13">
        <v>900</v>
      </c>
      <c r="J1092" s="16">
        <f>G1092*I1092</f>
        <v>0</v>
      </c>
      <c r="K1092" s="304"/>
      <c r="L1092" s="298"/>
      <c r="M1092" s="298">
        <f t="shared" si="299"/>
        <v>0</v>
      </c>
      <c r="N1092" s="16"/>
      <c r="O1092" s="104"/>
      <c r="Q1092" s="281"/>
      <c r="R1092" s="281"/>
      <c r="S1092" s="281"/>
      <c r="T1092" s="281"/>
      <c r="U1092" s="281"/>
    </row>
    <row r="1093" spans="1:21" x14ac:dyDescent="0.3">
      <c r="A1093" s="347" t="str">
        <f t="shared" si="297"/>
        <v>Exclude</v>
      </c>
      <c r="D1093" s="425" t="s">
        <v>1333</v>
      </c>
      <c r="E1093" s="44" t="s">
        <v>1252</v>
      </c>
      <c r="F1093" s="10"/>
      <c r="G1093" s="21">
        <f>G1091</f>
        <v>0</v>
      </c>
      <c r="H1093" s="19" t="s">
        <v>2</v>
      </c>
      <c r="I1093" s="13">
        <v>350</v>
      </c>
      <c r="J1093" s="16">
        <f>G1093*I1093</f>
        <v>0</v>
      </c>
      <c r="K1093" s="304"/>
      <c r="L1093" s="298"/>
      <c r="M1093" s="298">
        <f t="shared" ref="M1093" si="302">IF(K1093="x","Included in Sub Bid",J1093)</f>
        <v>0</v>
      </c>
      <c r="N1093" s="16"/>
      <c r="O1093" s="104"/>
      <c r="Q1093" s="281"/>
      <c r="R1093" s="281"/>
      <c r="S1093" s="281"/>
      <c r="T1093" s="281"/>
      <c r="U1093" s="281"/>
    </row>
    <row r="1094" spans="1:21" x14ac:dyDescent="0.3">
      <c r="A1094" s="347" t="str">
        <f t="shared" si="297"/>
        <v>Exclude</v>
      </c>
      <c r="D1094" s="425" t="s">
        <v>1333</v>
      </c>
      <c r="E1094" s="44" t="s">
        <v>1253</v>
      </c>
      <c r="F1094" s="10"/>
      <c r="G1094" s="21">
        <f>G1092</f>
        <v>0</v>
      </c>
      <c r="H1094" s="19" t="s">
        <v>2</v>
      </c>
      <c r="I1094" s="13">
        <v>350</v>
      </c>
      <c r="J1094" s="16">
        <f>G1094*I1094</f>
        <v>0</v>
      </c>
      <c r="K1094" s="304"/>
      <c r="L1094" s="298"/>
      <c r="M1094" s="298">
        <f t="shared" ref="M1094" si="303">IF(K1094="x","Included in Sub Bid",J1094)</f>
        <v>0</v>
      </c>
      <c r="N1094" s="16"/>
      <c r="O1094" s="104"/>
      <c r="Q1094" s="281"/>
      <c r="R1094" s="281"/>
      <c r="S1094" s="281"/>
      <c r="T1094" s="281"/>
      <c r="U1094" s="281"/>
    </row>
    <row r="1095" spans="1:21" x14ac:dyDescent="0.3">
      <c r="A1095" s="347" t="str">
        <f>A1092</f>
        <v>Exclude</v>
      </c>
      <c r="D1095" s="425" t="s">
        <v>1333</v>
      </c>
      <c r="E1095" s="44" t="s">
        <v>1396</v>
      </c>
      <c r="F1095" s="10"/>
      <c r="G1095" s="21">
        <f>G1000</f>
        <v>0</v>
      </c>
      <c r="H1095" s="19" t="s">
        <v>20</v>
      </c>
      <c r="I1095" s="16"/>
      <c r="J1095" s="16">
        <f t="shared" si="298"/>
        <v>0</v>
      </c>
      <c r="K1095" s="304"/>
      <c r="L1095" s="298"/>
      <c r="M1095" s="298">
        <f t="shared" si="299"/>
        <v>0</v>
      </c>
      <c r="N1095" s="16"/>
      <c r="O1095" s="104"/>
      <c r="Q1095" s="286"/>
      <c r="R1095" s="281"/>
      <c r="S1095" s="281"/>
      <c r="T1095" s="281"/>
      <c r="U1095" s="281"/>
    </row>
    <row r="1096" spans="1:21" x14ac:dyDescent="0.3">
      <c r="A1096" s="347" t="str">
        <f t="shared" si="297"/>
        <v>Exclude</v>
      </c>
      <c r="D1096" s="425" t="s">
        <v>1333</v>
      </c>
      <c r="E1096" s="44" t="s">
        <v>284</v>
      </c>
      <c r="F1096" s="10"/>
      <c r="G1096" s="21"/>
      <c r="H1096" s="19" t="s">
        <v>2</v>
      </c>
      <c r="I1096" s="16"/>
      <c r="J1096" s="16">
        <f t="shared" si="298"/>
        <v>0</v>
      </c>
      <c r="K1096" s="304"/>
      <c r="L1096" s="298"/>
      <c r="M1096" s="298">
        <f t="shared" si="299"/>
        <v>0</v>
      </c>
      <c r="N1096" s="16"/>
      <c r="O1096" s="104"/>
      <c r="Q1096" s="286"/>
      <c r="R1096" s="281"/>
      <c r="S1096" s="281"/>
      <c r="T1096" s="281"/>
      <c r="U1096" s="281"/>
    </row>
    <row r="1097" spans="1:21" x14ac:dyDescent="0.3">
      <c r="A1097" s="347" t="str">
        <f t="shared" si="297"/>
        <v>Exclude</v>
      </c>
      <c r="D1097" s="425" t="s">
        <v>1333</v>
      </c>
      <c r="E1097" s="44" t="s">
        <v>283</v>
      </c>
      <c r="F1097" s="10"/>
      <c r="G1097" s="21">
        <f>G1001</f>
        <v>0</v>
      </c>
      <c r="H1097" s="19" t="s">
        <v>2</v>
      </c>
      <c r="I1097" s="16"/>
      <c r="J1097" s="16">
        <f t="shared" si="298"/>
        <v>0</v>
      </c>
      <c r="K1097" s="304"/>
      <c r="L1097" s="298"/>
      <c r="M1097" s="298">
        <f t="shared" si="299"/>
        <v>0</v>
      </c>
      <c r="N1097" s="16"/>
      <c r="O1097" s="104"/>
      <c r="Q1097" s="281"/>
      <c r="R1097" s="281"/>
      <c r="S1097" s="281"/>
      <c r="T1097" s="281"/>
      <c r="U1097" s="281"/>
    </row>
    <row r="1098" spans="1:21" x14ac:dyDescent="0.3">
      <c r="A1098" s="347" t="str">
        <f t="shared" si="297"/>
        <v>Exclude</v>
      </c>
      <c r="D1098" s="425" t="s">
        <v>1333</v>
      </c>
      <c r="E1098" s="44" t="s">
        <v>285</v>
      </c>
      <c r="F1098" s="10"/>
      <c r="G1098" s="21">
        <f>G992</f>
        <v>0</v>
      </c>
      <c r="H1098" s="19" t="s">
        <v>2</v>
      </c>
      <c r="I1098" s="16">
        <v>3500</v>
      </c>
      <c r="J1098" s="16">
        <f t="shared" si="298"/>
        <v>0</v>
      </c>
      <c r="K1098" s="304"/>
      <c r="L1098" s="298"/>
      <c r="M1098" s="298">
        <f t="shared" si="299"/>
        <v>0</v>
      </c>
      <c r="N1098" s="16"/>
      <c r="O1098" s="104"/>
      <c r="Q1098" s="281"/>
      <c r="R1098" s="281"/>
      <c r="S1098" s="281"/>
      <c r="T1098" s="281"/>
      <c r="U1098" s="281"/>
    </row>
    <row r="1099" spans="1:21" x14ac:dyDescent="0.3">
      <c r="A1099" s="347" t="str">
        <f t="shared" si="297"/>
        <v>Exclude</v>
      </c>
      <c r="D1099" s="425" t="s">
        <v>1333</v>
      </c>
      <c r="E1099" s="44" t="s">
        <v>497</v>
      </c>
      <c r="F1099" s="10"/>
      <c r="G1099" s="21">
        <f>G1003</f>
        <v>0</v>
      </c>
      <c r="H1099" s="12" t="s">
        <v>2</v>
      </c>
      <c r="I1099" s="16">
        <v>2800</v>
      </c>
      <c r="J1099" s="16">
        <f t="shared" si="298"/>
        <v>0</v>
      </c>
      <c r="K1099" s="304"/>
      <c r="L1099" s="298"/>
      <c r="M1099" s="298">
        <f t="shared" si="299"/>
        <v>0</v>
      </c>
      <c r="N1099" s="16"/>
      <c r="O1099" s="104"/>
      <c r="Q1099" s="281"/>
      <c r="R1099" s="281"/>
      <c r="S1099" s="281"/>
      <c r="T1099" s="281"/>
      <c r="U1099" s="281"/>
    </row>
    <row r="1100" spans="1:21" x14ac:dyDescent="0.3">
      <c r="A1100" s="347" t="str">
        <f t="shared" si="297"/>
        <v>Exclude</v>
      </c>
      <c r="D1100" s="425" t="s">
        <v>1333</v>
      </c>
      <c r="E1100" s="44" t="s">
        <v>286</v>
      </c>
      <c r="F1100" s="10"/>
      <c r="G1100" s="21">
        <f>G993</f>
        <v>0</v>
      </c>
      <c r="H1100" s="19" t="s">
        <v>2</v>
      </c>
      <c r="I1100" s="16">
        <v>1800</v>
      </c>
      <c r="J1100" s="16">
        <f t="shared" si="298"/>
        <v>0</v>
      </c>
      <c r="K1100" s="304"/>
      <c r="L1100" s="298"/>
      <c r="M1100" s="298">
        <f t="shared" si="299"/>
        <v>0</v>
      </c>
      <c r="N1100" s="16"/>
      <c r="O1100" s="104"/>
      <c r="Q1100" s="281"/>
      <c r="R1100" s="281"/>
      <c r="S1100" s="281"/>
      <c r="T1100" s="281"/>
      <c r="U1100" s="281"/>
    </row>
    <row r="1101" spans="1:21" x14ac:dyDescent="0.3">
      <c r="A1101" s="347" t="str">
        <f t="shared" si="297"/>
        <v>Exclude</v>
      </c>
      <c r="D1101" s="425" t="s">
        <v>1333</v>
      </c>
      <c r="E1101" s="44" t="s">
        <v>287</v>
      </c>
      <c r="F1101" s="10"/>
      <c r="G1101" s="21">
        <f>G995</f>
        <v>0</v>
      </c>
      <c r="H1101" s="19" t="s">
        <v>2</v>
      </c>
      <c r="I1101" s="16">
        <v>800</v>
      </c>
      <c r="J1101" s="16">
        <f t="shared" si="298"/>
        <v>0</v>
      </c>
      <c r="K1101" s="304"/>
      <c r="L1101" s="298"/>
      <c r="M1101" s="298">
        <f t="shared" si="299"/>
        <v>0</v>
      </c>
      <c r="N1101" s="16"/>
      <c r="O1101" s="104"/>
      <c r="Q1101" s="281"/>
      <c r="R1101" s="281"/>
      <c r="S1101" s="281"/>
      <c r="T1101" s="281"/>
      <c r="U1101" s="281"/>
    </row>
    <row r="1102" spans="1:21" x14ac:dyDescent="0.3">
      <c r="A1102" s="347" t="str">
        <f t="shared" si="297"/>
        <v>Exclude</v>
      </c>
      <c r="D1102" s="425" t="s">
        <v>1333</v>
      </c>
      <c r="E1102" s="44" t="s">
        <v>288</v>
      </c>
      <c r="F1102" s="10" t="s">
        <v>384</v>
      </c>
      <c r="G1102" s="21"/>
      <c r="H1102" s="19" t="s">
        <v>2</v>
      </c>
      <c r="I1102" s="16"/>
      <c r="J1102" s="16">
        <f t="shared" si="298"/>
        <v>0</v>
      </c>
      <c r="K1102" s="304"/>
      <c r="L1102" s="298"/>
      <c r="M1102" s="298">
        <f t="shared" si="299"/>
        <v>0</v>
      </c>
      <c r="N1102" s="16"/>
      <c r="O1102" s="104"/>
      <c r="Q1102" s="281"/>
      <c r="R1102" s="281"/>
      <c r="S1102" s="281"/>
      <c r="T1102" s="281"/>
      <c r="U1102" s="281"/>
    </row>
    <row r="1103" spans="1:21" x14ac:dyDescent="0.3">
      <c r="A1103" s="347" t="str">
        <f t="shared" si="297"/>
        <v>Exclude</v>
      </c>
      <c r="D1103" s="427" t="s">
        <v>1333</v>
      </c>
      <c r="E1103" s="199" t="s">
        <v>943</v>
      </c>
      <c r="F1103" s="200"/>
      <c r="G1103" s="201"/>
      <c r="H1103" s="202" t="s">
        <v>0</v>
      </c>
      <c r="I1103" s="203"/>
      <c r="J1103" s="203"/>
      <c r="K1103" s="304"/>
      <c r="L1103" s="302"/>
      <c r="M1103" s="302">
        <f>IF(K1103="x","Included in Sub Bid",G1103*I1103)</f>
        <v>0</v>
      </c>
      <c r="N1103" s="16"/>
      <c r="O1103" s="104"/>
      <c r="Q1103" s="281"/>
      <c r="R1103" s="281"/>
      <c r="S1103" s="281"/>
      <c r="T1103" s="281"/>
      <c r="U1103" s="281"/>
    </row>
    <row r="1104" spans="1:21" x14ac:dyDescent="0.3">
      <c r="A1104" s="347" t="str">
        <f t="shared" si="297"/>
        <v>Exclude</v>
      </c>
      <c r="D1104" s="427" t="s">
        <v>1333</v>
      </c>
      <c r="E1104" s="199" t="s">
        <v>944</v>
      </c>
      <c r="F1104" s="200"/>
      <c r="G1104" s="201"/>
      <c r="H1104" s="202" t="s">
        <v>0</v>
      </c>
      <c r="I1104" s="203"/>
      <c r="J1104" s="203"/>
      <c r="K1104" s="304"/>
      <c r="L1104" s="302"/>
      <c r="M1104" s="302">
        <f>IF(K1104="x","Included in Sub Bid",G1104*I1104)</f>
        <v>0</v>
      </c>
      <c r="N1104" s="16"/>
      <c r="O1104" s="104"/>
      <c r="Q1104" s="281"/>
      <c r="R1104" s="281"/>
      <c r="S1104" s="281"/>
      <c r="T1104" s="281"/>
      <c r="U1104" s="281"/>
    </row>
    <row r="1105" spans="1:21" x14ac:dyDescent="0.3">
      <c r="A1105" s="347" t="str">
        <f t="shared" si="297"/>
        <v>Exclude</v>
      </c>
      <c r="D1105" s="425"/>
      <c r="E1105" s="44"/>
      <c r="F1105" s="10"/>
      <c r="G1105" s="21"/>
      <c r="H1105" s="19"/>
      <c r="I1105" s="16"/>
      <c r="J1105" s="16"/>
      <c r="K1105" s="304"/>
      <c r="L1105" s="298"/>
      <c r="M1105" s="298"/>
      <c r="N1105" s="16"/>
      <c r="O1105" s="104"/>
      <c r="Q1105" s="281"/>
      <c r="R1105" s="281"/>
      <c r="S1105" s="281"/>
      <c r="T1105" s="281"/>
      <c r="U1105" s="281"/>
    </row>
    <row r="1106" spans="1:21" x14ac:dyDescent="0.3">
      <c r="A1106" s="347" t="str">
        <f t="shared" si="297"/>
        <v>Exclude</v>
      </c>
      <c r="D1106" s="425"/>
      <c r="E1106" s="48"/>
      <c r="F1106" s="10"/>
      <c r="G1106" s="21"/>
      <c r="H1106" s="19"/>
      <c r="I1106" s="16"/>
      <c r="J1106" s="16"/>
      <c r="K1106" s="301"/>
      <c r="L1106" s="298"/>
      <c r="M1106" s="298"/>
      <c r="N1106" s="16"/>
      <c r="O1106" s="104"/>
      <c r="Q1106" s="281"/>
      <c r="R1106" s="281"/>
      <c r="S1106" s="281"/>
      <c r="T1106" s="281"/>
      <c r="U1106" s="281"/>
    </row>
    <row r="1107" spans="1:21" ht="15.5" x14ac:dyDescent="0.3">
      <c r="A1107" s="347" t="str">
        <f>IF(J1107=0,"Exclude","x")</f>
        <v>x</v>
      </c>
      <c r="D1107" s="424" t="s">
        <v>802</v>
      </c>
      <c r="E1107" s="69" t="s">
        <v>648</v>
      </c>
      <c r="F1107" s="56"/>
      <c r="G1107" s="57"/>
      <c r="H1107" s="58"/>
      <c r="I1107" s="59"/>
      <c r="J1107" s="60">
        <f>SUBTOTAL(9,J1108:J1127)</f>
        <v>1100</v>
      </c>
      <c r="K1107" s="59">
        <f>IFERROR(J1107/$G$6,0)</f>
        <v>0</v>
      </c>
      <c r="L1107" s="309"/>
      <c r="M1107" s="60"/>
      <c r="N1107" s="59">
        <f>SUM(M1108:M1127)</f>
        <v>1100</v>
      </c>
      <c r="O1107" s="435">
        <f>IFERROR(N1107/$G$6,0)</f>
        <v>0</v>
      </c>
      <c r="Q1107" s="281"/>
      <c r="R1107" s="281"/>
      <c r="S1107" s="281"/>
      <c r="T1107" s="281"/>
      <c r="U1107" s="281"/>
    </row>
    <row r="1108" spans="1:21" x14ac:dyDescent="0.3">
      <c r="A1108" s="347" t="str">
        <f t="shared" ref="A1108:A1127" si="304">A1107</f>
        <v>x</v>
      </c>
      <c r="D1108" s="426" t="s">
        <v>1335</v>
      </c>
      <c r="E1108" s="39" t="s">
        <v>1203</v>
      </c>
      <c r="F1108" s="24"/>
      <c r="G1108" s="292"/>
      <c r="H1108" s="25"/>
      <c r="I1108" s="293"/>
      <c r="J1108" s="293"/>
      <c r="K1108" s="301"/>
      <c r="L1108" s="300">
        <v>0</v>
      </c>
      <c r="M1108" s="301">
        <f>L1108</f>
        <v>0</v>
      </c>
      <c r="N1108" s="293"/>
      <c r="O1108" s="294"/>
      <c r="Q1108" s="282"/>
      <c r="R1108" s="281"/>
      <c r="S1108" s="283"/>
      <c r="T1108" s="283"/>
      <c r="U1108" s="283"/>
    </row>
    <row r="1109" spans="1:21" x14ac:dyDescent="0.3">
      <c r="A1109" s="347" t="str">
        <f t="shared" si="304"/>
        <v>x</v>
      </c>
      <c r="D1109" s="425" t="s">
        <v>1335</v>
      </c>
      <c r="E1109" s="44" t="s">
        <v>140</v>
      </c>
      <c r="F1109" s="10"/>
      <c r="G1109" s="21"/>
      <c r="H1109" s="19" t="s">
        <v>2</v>
      </c>
      <c r="I1109" s="16"/>
      <c r="J1109" s="16">
        <f>G1109*I1109</f>
        <v>0</v>
      </c>
      <c r="K1109" s="304"/>
      <c r="L1109" s="298"/>
      <c r="M1109" s="298">
        <f t="shared" ref="M1109:M1123" si="305">IF(K1109="x","Included in Sub Bid",J1109)</f>
        <v>0</v>
      </c>
      <c r="N1109" s="16"/>
      <c r="O1109" s="104"/>
      <c r="Q1109" s="281"/>
      <c r="R1109" s="281"/>
      <c r="S1109" s="281"/>
      <c r="T1109" s="281"/>
      <c r="U1109" s="281"/>
    </row>
    <row r="1110" spans="1:21" x14ac:dyDescent="0.3">
      <c r="A1110" s="347" t="str">
        <f t="shared" si="304"/>
        <v>x</v>
      </c>
      <c r="D1110" s="425" t="s">
        <v>1335</v>
      </c>
      <c r="E1110" s="44" t="s">
        <v>132</v>
      </c>
      <c r="F1110" s="10" t="str">
        <f>IF('Project Info Input'!C105="T5",'Project Info Input'!C106,"")</f>
        <v/>
      </c>
      <c r="G1110" s="21"/>
      <c r="H1110" s="19" t="s">
        <v>2</v>
      </c>
      <c r="I1110" s="16"/>
      <c r="J1110" s="16">
        <f>G1110*I1110</f>
        <v>0</v>
      </c>
      <c r="K1110" s="304"/>
      <c r="L1110" s="298"/>
      <c r="M1110" s="298">
        <f t="shared" si="305"/>
        <v>0</v>
      </c>
      <c r="N1110" s="16"/>
      <c r="O1110" s="104"/>
      <c r="Q1110" s="281"/>
      <c r="R1110" s="281"/>
      <c r="S1110" s="281"/>
      <c r="T1110" s="281"/>
      <c r="U1110" s="281"/>
    </row>
    <row r="1111" spans="1:21" x14ac:dyDescent="0.3">
      <c r="A1111" s="347" t="str">
        <f t="shared" si="304"/>
        <v>x</v>
      </c>
      <c r="D1111" s="425" t="s">
        <v>1335</v>
      </c>
      <c r="E1111" s="44" t="s">
        <v>350</v>
      </c>
      <c r="F1111" s="10"/>
      <c r="G1111" s="21"/>
      <c r="H1111" s="19" t="s">
        <v>2</v>
      </c>
      <c r="I1111" s="16"/>
      <c r="J1111" s="16">
        <f>G1111*I1111</f>
        <v>0</v>
      </c>
      <c r="K1111" s="304"/>
      <c r="L1111" s="298"/>
      <c r="M1111" s="298">
        <f t="shared" si="305"/>
        <v>0</v>
      </c>
      <c r="N1111" s="16"/>
      <c r="O1111" s="104"/>
      <c r="Q1111" s="281"/>
      <c r="R1111" s="281"/>
      <c r="S1111" s="281"/>
      <c r="T1111" s="281"/>
      <c r="U1111" s="281"/>
    </row>
    <row r="1112" spans="1:21" x14ac:dyDescent="0.3">
      <c r="A1112" s="347" t="str">
        <f t="shared" si="304"/>
        <v>x</v>
      </c>
      <c r="D1112" s="425" t="s">
        <v>1335</v>
      </c>
      <c r="E1112" s="475" t="str">
        <f>CONCATENATE("LED High Bay - ",'Project Info Input'!C106," FC")</f>
        <v>LED High Bay - 30 FC</v>
      </c>
      <c r="F1112" s="476">
        <f>'Project Info Input'!C107</f>
        <v>36000</v>
      </c>
      <c r="G1112" s="474">
        <f>'Project Info Input'!C108</f>
        <v>0</v>
      </c>
      <c r="H1112" s="19" t="s">
        <v>2</v>
      </c>
      <c r="I1112" s="16">
        <v>525</v>
      </c>
      <c r="J1112" s="16">
        <f t="shared" ref="J1112:J1113" si="306">G1112*I1112</f>
        <v>0</v>
      </c>
      <c r="K1112" s="304"/>
      <c r="L1112" s="298"/>
      <c r="M1112" s="298">
        <f t="shared" si="305"/>
        <v>0</v>
      </c>
      <c r="N1112" s="16"/>
      <c r="O1112" s="104"/>
      <c r="Q1112" s="281"/>
      <c r="R1112" s="281"/>
      <c r="S1112" s="281"/>
      <c r="T1112" s="281"/>
      <c r="U1112" s="281"/>
    </row>
    <row r="1113" spans="1:21" x14ac:dyDescent="0.3">
      <c r="A1113" s="347" t="str">
        <f t="shared" si="304"/>
        <v>x</v>
      </c>
      <c r="D1113" s="425" t="s">
        <v>1335</v>
      </c>
      <c r="E1113" s="44" t="s">
        <v>503</v>
      </c>
      <c r="F1113" s="10"/>
      <c r="G1113" s="21"/>
      <c r="H1113" s="19" t="s">
        <v>2</v>
      </c>
      <c r="I1113" s="16"/>
      <c r="J1113" s="16">
        <f t="shared" si="306"/>
        <v>0</v>
      </c>
      <c r="K1113" s="304"/>
      <c r="L1113" s="298"/>
      <c r="M1113" s="298">
        <f t="shared" si="305"/>
        <v>0</v>
      </c>
      <c r="N1113" s="16"/>
      <c r="O1113" s="104"/>
      <c r="Q1113" s="281"/>
      <c r="R1113" s="281"/>
      <c r="S1113" s="281"/>
      <c r="T1113" s="281"/>
      <c r="U1113" s="281"/>
    </row>
    <row r="1114" spans="1:21" x14ac:dyDescent="0.3">
      <c r="A1114" s="347" t="str">
        <f t="shared" si="304"/>
        <v>x</v>
      </c>
      <c r="D1114" s="425" t="s">
        <v>1335</v>
      </c>
      <c r="E1114" s="44" t="s">
        <v>141</v>
      </c>
      <c r="F1114" s="10"/>
      <c r="G1114" s="21">
        <f>SUM(G1110:G1113)</f>
        <v>0</v>
      </c>
      <c r="H1114" s="19" t="s">
        <v>2</v>
      </c>
      <c r="I1114" s="16">
        <v>65</v>
      </c>
      <c r="J1114" s="16">
        <f t="shared" ref="J1114:J1121" si="307">G1114*I1114</f>
        <v>0</v>
      </c>
      <c r="K1114" s="304"/>
      <c r="L1114" s="298"/>
      <c r="M1114" s="298">
        <f t="shared" si="305"/>
        <v>0</v>
      </c>
      <c r="N1114" s="16"/>
      <c r="O1114" s="104"/>
      <c r="Q1114" s="281"/>
      <c r="R1114" s="281"/>
      <c r="S1114" s="281"/>
      <c r="T1114" s="281"/>
      <c r="U1114" s="281"/>
    </row>
    <row r="1115" spans="1:21" x14ac:dyDescent="0.3">
      <c r="A1115" s="347" t="str">
        <f t="shared" si="304"/>
        <v>x</v>
      </c>
      <c r="D1115" s="425" t="s">
        <v>1335</v>
      </c>
      <c r="E1115" s="44" t="s">
        <v>133</v>
      </c>
      <c r="F1115" s="10"/>
      <c r="G1115" s="21"/>
      <c r="H1115" s="19" t="s">
        <v>0</v>
      </c>
      <c r="I1115" s="16"/>
      <c r="J1115" s="16">
        <f t="shared" si="307"/>
        <v>0</v>
      </c>
      <c r="K1115" s="304"/>
      <c r="L1115" s="298"/>
      <c r="M1115" s="298">
        <f t="shared" si="305"/>
        <v>0</v>
      </c>
      <c r="N1115" s="16"/>
      <c r="O1115" s="104"/>
      <c r="Q1115" s="281"/>
      <c r="R1115" s="281"/>
      <c r="S1115" s="281"/>
      <c r="T1115" s="281"/>
      <c r="U1115" s="281"/>
    </row>
    <row r="1116" spans="1:21" x14ac:dyDescent="0.3">
      <c r="A1116" s="347" t="str">
        <f t="shared" si="304"/>
        <v>x</v>
      </c>
      <c r="D1116" s="425" t="s">
        <v>1335</v>
      </c>
      <c r="E1116" s="44" t="s">
        <v>134</v>
      </c>
      <c r="F1116" s="10"/>
      <c r="G1116" s="21"/>
      <c r="H1116" s="19" t="s">
        <v>2</v>
      </c>
      <c r="I1116" s="16"/>
      <c r="J1116" s="16">
        <f t="shared" si="307"/>
        <v>0</v>
      </c>
      <c r="K1116" s="304"/>
      <c r="L1116" s="298"/>
      <c r="M1116" s="298">
        <f t="shared" si="305"/>
        <v>0</v>
      </c>
      <c r="N1116" s="16"/>
      <c r="O1116" s="104"/>
      <c r="Q1116" s="281"/>
      <c r="R1116" s="281"/>
      <c r="S1116" s="281"/>
      <c r="T1116" s="281"/>
      <c r="U1116" s="281"/>
    </row>
    <row r="1117" spans="1:21" x14ac:dyDescent="0.3">
      <c r="A1117" s="347" t="str">
        <f t="shared" si="304"/>
        <v>x</v>
      </c>
      <c r="D1117" s="425" t="s">
        <v>1335</v>
      </c>
      <c r="E1117" s="44" t="s">
        <v>135</v>
      </c>
      <c r="F1117" s="10"/>
      <c r="G1117" s="21"/>
      <c r="H1117" s="19" t="s">
        <v>2</v>
      </c>
      <c r="I1117" s="16"/>
      <c r="J1117" s="16">
        <f t="shared" si="307"/>
        <v>0</v>
      </c>
      <c r="K1117" s="304"/>
      <c r="L1117" s="298"/>
      <c r="M1117" s="298">
        <f t="shared" si="305"/>
        <v>0</v>
      </c>
      <c r="N1117" s="16"/>
      <c r="O1117" s="104"/>
      <c r="Q1117" s="281"/>
      <c r="R1117" s="281"/>
      <c r="S1117" s="281"/>
      <c r="T1117" s="281"/>
      <c r="U1117" s="281"/>
    </row>
    <row r="1118" spans="1:21" x14ac:dyDescent="0.3">
      <c r="A1118" s="347" t="str">
        <f t="shared" si="304"/>
        <v>x</v>
      </c>
      <c r="D1118" s="425" t="s">
        <v>1335</v>
      </c>
      <c r="E1118" s="44" t="s">
        <v>136</v>
      </c>
      <c r="F1118" s="10"/>
      <c r="G1118" s="21"/>
      <c r="H1118" s="19" t="s">
        <v>2</v>
      </c>
      <c r="I1118" s="16"/>
      <c r="J1118" s="16">
        <f t="shared" si="307"/>
        <v>0</v>
      </c>
      <c r="K1118" s="304"/>
      <c r="L1118" s="298"/>
      <c r="M1118" s="298">
        <f t="shared" si="305"/>
        <v>0</v>
      </c>
      <c r="N1118" s="16"/>
      <c r="O1118" s="104"/>
      <c r="Q1118" s="281"/>
      <c r="R1118" s="281"/>
      <c r="S1118" s="281"/>
      <c r="T1118" s="281"/>
      <c r="U1118" s="281"/>
    </row>
    <row r="1119" spans="1:21" x14ac:dyDescent="0.3">
      <c r="A1119" s="347" t="str">
        <f t="shared" si="304"/>
        <v>x</v>
      </c>
      <c r="D1119" s="425" t="s">
        <v>1335</v>
      </c>
      <c r="E1119" s="44" t="s">
        <v>1408</v>
      </c>
      <c r="F1119" s="10" t="s">
        <v>1409</v>
      </c>
      <c r="G1119" s="21">
        <f>G473</f>
        <v>1</v>
      </c>
      <c r="H1119" s="19" t="s">
        <v>2</v>
      </c>
      <c r="I1119" s="16">
        <v>1100</v>
      </c>
      <c r="J1119" s="16">
        <f t="shared" si="307"/>
        <v>1100</v>
      </c>
      <c r="K1119" s="304"/>
      <c r="L1119" s="298"/>
      <c r="M1119" s="298">
        <f t="shared" si="305"/>
        <v>1100</v>
      </c>
      <c r="N1119" s="16"/>
      <c r="O1119" s="104"/>
      <c r="Q1119" s="281"/>
      <c r="R1119" s="281"/>
      <c r="S1119" s="281"/>
      <c r="T1119" s="281"/>
      <c r="U1119" s="281"/>
    </row>
    <row r="1120" spans="1:21" x14ac:dyDescent="0.3">
      <c r="A1120" s="347" t="str">
        <f t="shared" si="304"/>
        <v>x</v>
      </c>
      <c r="D1120" s="425" t="s">
        <v>1335</v>
      </c>
      <c r="E1120" s="44" t="s">
        <v>192</v>
      </c>
      <c r="F1120" s="10"/>
      <c r="G1120" s="21"/>
      <c r="H1120" s="19" t="s">
        <v>2</v>
      </c>
      <c r="I1120" s="16"/>
      <c r="J1120" s="16">
        <f t="shared" si="307"/>
        <v>0</v>
      </c>
      <c r="K1120" s="304"/>
      <c r="L1120" s="298"/>
      <c r="M1120" s="298">
        <f t="shared" si="305"/>
        <v>0</v>
      </c>
      <c r="N1120" s="16"/>
      <c r="O1120" s="104"/>
      <c r="Q1120" s="281"/>
      <c r="R1120" s="281"/>
      <c r="S1120" s="281"/>
      <c r="T1120" s="281"/>
      <c r="U1120" s="281"/>
    </row>
    <row r="1121" spans="1:21" x14ac:dyDescent="0.3">
      <c r="A1121" s="347" t="str">
        <f t="shared" si="304"/>
        <v>x</v>
      </c>
      <c r="D1121" s="425" t="s">
        <v>1335</v>
      </c>
      <c r="E1121" s="44" t="s">
        <v>137</v>
      </c>
      <c r="F1121" s="10"/>
      <c r="G1121" s="21"/>
      <c r="H1121" s="19" t="s">
        <v>2</v>
      </c>
      <c r="I1121" s="16"/>
      <c r="J1121" s="16">
        <f t="shared" si="307"/>
        <v>0</v>
      </c>
      <c r="K1121" s="304"/>
      <c r="L1121" s="298"/>
      <c r="M1121" s="298">
        <f t="shared" si="305"/>
        <v>0</v>
      </c>
      <c r="N1121" s="16"/>
      <c r="O1121" s="104"/>
      <c r="Q1121" s="281"/>
      <c r="R1121" s="281"/>
      <c r="S1121" s="281"/>
      <c r="T1121" s="281"/>
      <c r="U1121" s="281"/>
    </row>
    <row r="1122" spans="1:21" x14ac:dyDescent="0.3">
      <c r="A1122" s="347" t="str">
        <f t="shared" si="304"/>
        <v>x</v>
      </c>
      <c r="D1122" s="425" t="s">
        <v>1335</v>
      </c>
      <c r="E1122" s="44" t="s">
        <v>753</v>
      </c>
      <c r="F1122" s="10"/>
      <c r="G1122" s="21">
        <f>SUM(G626:G627)</f>
        <v>0</v>
      </c>
      <c r="H1122" s="19" t="s">
        <v>2</v>
      </c>
      <c r="I1122" s="16">
        <v>275</v>
      </c>
      <c r="J1122" s="16">
        <f t="shared" ref="J1122" si="308">G1122*I1122</f>
        <v>0</v>
      </c>
      <c r="K1122" s="304"/>
      <c r="L1122" s="298"/>
      <c r="M1122" s="298">
        <f t="shared" si="305"/>
        <v>0</v>
      </c>
      <c r="N1122" s="16"/>
      <c r="O1122" s="104"/>
      <c r="Q1122" s="281"/>
      <c r="R1122" s="281"/>
      <c r="S1122" s="281"/>
      <c r="T1122" s="281"/>
      <c r="U1122" s="281"/>
    </row>
    <row r="1123" spans="1:21" x14ac:dyDescent="0.3">
      <c r="A1123" s="347" t="str">
        <f t="shared" si="304"/>
        <v>x</v>
      </c>
      <c r="D1123" s="425" t="s">
        <v>1335</v>
      </c>
      <c r="E1123" s="44" t="s">
        <v>138</v>
      </c>
      <c r="F1123" s="10"/>
      <c r="G1123" s="21">
        <f>SUM(G1110:G1113)*0.2</f>
        <v>0</v>
      </c>
      <c r="H1123" s="19" t="s">
        <v>2</v>
      </c>
      <c r="I1123" s="16">
        <v>100</v>
      </c>
      <c r="J1123" s="16">
        <f>G1123*I1123</f>
        <v>0</v>
      </c>
      <c r="K1123" s="304"/>
      <c r="L1123" s="298"/>
      <c r="M1123" s="298">
        <f t="shared" si="305"/>
        <v>0</v>
      </c>
      <c r="N1123" s="16"/>
      <c r="O1123" s="104"/>
      <c r="Q1123" s="281"/>
      <c r="R1123" s="281"/>
      <c r="S1123" s="281"/>
      <c r="T1123" s="281"/>
      <c r="U1123" s="281"/>
    </row>
    <row r="1124" spans="1:21" x14ac:dyDescent="0.3">
      <c r="A1124" s="347" t="str">
        <f t="shared" si="304"/>
        <v>x</v>
      </c>
      <c r="D1124" s="427" t="s">
        <v>1335</v>
      </c>
      <c r="E1124" s="199" t="s">
        <v>943</v>
      </c>
      <c r="F1124" s="200"/>
      <c r="G1124" s="201"/>
      <c r="H1124" s="202" t="s">
        <v>0</v>
      </c>
      <c r="I1124" s="203"/>
      <c r="J1124" s="203"/>
      <c r="K1124" s="304"/>
      <c r="L1124" s="302"/>
      <c r="M1124" s="302">
        <f>IF(K1124="x","Included in Sub Bid",G1124*I1124)</f>
        <v>0</v>
      </c>
      <c r="N1124" s="16"/>
      <c r="O1124" s="104"/>
      <c r="Q1124" s="281"/>
      <c r="R1124" s="281"/>
      <c r="S1124" s="281"/>
      <c r="T1124" s="281"/>
      <c r="U1124" s="281"/>
    </row>
    <row r="1125" spans="1:21" x14ac:dyDescent="0.3">
      <c r="A1125" s="347" t="str">
        <f t="shared" si="304"/>
        <v>x</v>
      </c>
      <c r="D1125" s="427" t="s">
        <v>1335</v>
      </c>
      <c r="E1125" s="199" t="s">
        <v>944</v>
      </c>
      <c r="F1125" s="200"/>
      <c r="G1125" s="201"/>
      <c r="H1125" s="202" t="s">
        <v>0</v>
      </c>
      <c r="I1125" s="203"/>
      <c r="J1125" s="203"/>
      <c r="K1125" s="304"/>
      <c r="L1125" s="302"/>
      <c r="M1125" s="302">
        <f>IF(K1125="x","Included in Sub Bid",G1125*I1125)</f>
        <v>0</v>
      </c>
      <c r="N1125" s="16"/>
      <c r="O1125" s="104"/>
      <c r="Q1125" s="281"/>
      <c r="R1125" s="281"/>
      <c r="S1125" s="281"/>
      <c r="T1125" s="281"/>
      <c r="U1125" s="281"/>
    </row>
    <row r="1126" spans="1:21" x14ac:dyDescent="0.3">
      <c r="A1126" s="347" t="str">
        <f t="shared" si="304"/>
        <v>x</v>
      </c>
      <c r="D1126" s="425"/>
      <c r="E1126" s="44"/>
      <c r="F1126" s="10"/>
      <c r="G1126" s="21"/>
      <c r="H1126" s="19"/>
      <c r="I1126" s="16"/>
      <c r="J1126" s="16"/>
      <c r="K1126" s="304"/>
      <c r="L1126" s="298"/>
      <c r="M1126" s="298"/>
      <c r="N1126" s="16"/>
      <c r="O1126" s="104"/>
      <c r="Q1126" s="281"/>
      <c r="R1126" s="281"/>
      <c r="S1126" s="281"/>
      <c r="T1126" s="281"/>
      <c r="U1126" s="281"/>
    </row>
    <row r="1127" spans="1:21" x14ac:dyDescent="0.3">
      <c r="A1127" s="347" t="str">
        <f t="shared" si="304"/>
        <v>x</v>
      </c>
      <c r="D1127" s="425"/>
      <c r="E1127" s="44"/>
      <c r="F1127" s="10"/>
      <c r="G1127" s="21"/>
      <c r="H1127" s="19"/>
      <c r="I1127" s="16"/>
      <c r="J1127" s="16"/>
      <c r="K1127" s="301"/>
      <c r="L1127" s="298"/>
      <c r="M1127" s="298"/>
      <c r="N1127" s="16"/>
      <c r="O1127" s="104"/>
      <c r="Q1127" s="281"/>
      <c r="R1127" s="281"/>
      <c r="S1127" s="281"/>
      <c r="T1127" s="281"/>
      <c r="U1127" s="281"/>
    </row>
    <row r="1128" spans="1:21" ht="15.5" x14ac:dyDescent="0.3">
      <c r="A1128" s="347" t="str">
        <f>IF(J1128=0,"Exclude","x")</f>
        <v>Exclude</v>
      </c>
      <c r="D1128" s="424" t="s">
        <v>802</v>
      </c>
      <c r="E1128" s="69" t="s">
        <v>649</v>
      </c>
      <c r="F1128" s="56"/>
      <c r="G1128" s="57"/>
      <c r="H1128" s="58"/>
      <c r="I1128" s="59"/>
      <c r="J1128" s="60">
        <f>SUBTOTAL(9,J1129:J1155)</f>
        <v>0</v>
      </c>
      <c r="K1128" s="59">
        <f>IFERROR(J1128/$G$6,0)</f>
        <v>0</v>
      </c>
      <c r="L1128" s="309"/>
      <c r="M1128" s="60"/>
      <c r="N1128" s="59">
        <f>SUM(M1129:M1155)</f>
        <v>0</v>
      </c>
      <c r="O1128" s="435">
        <f>IFERROR(N1128/$G$6,0)</f>
        <v>0</v>
      </c>
      <c r="Q1128" s="281"/>
      <c r="R1128" s="281"/>
      <c r="S1128" s="281"/>
      <c r="T1128" s="281"/>
      <c r="U1128" s="281"/>
    </row>
    <row r="1129" spans="1:21" x14ac:dyDescent="0.3">
      <c r="A1129" s="347" t="str">
        <f t="shared" ref="A1129:A1155" si="309">A1128</f>
        <v>Exclude</v>
      </c>
      <c r="D1129" s="426" t="s">
        <v>1333</v>
      </c>
      <c r="E1129" s="39" t="s">
        <v>1203</v>
      </c>
      <c r="F1129" s="24"/>
      <c r="G1129" s="292"/>
      <c r="H1129" s="25"/>
      <c r="I1129" s="293"/>
      <c r="J1129" s="293"/>
      <c r="K1129" s="301"/>
      <c r="L1129" s="300">
        <v>0</v>
      </c>
      <c r="M1129" s="301">
        <f>L1129</f>
        <v>0</v>
      </c>
      <c r="N1129" s="293"/>
      <c r="O1129" s="294"/>
      <c r="Q1129" s="282"/>
      <c r="R1129" s="281"/>
      <c r="S1129" s="283"/>
      <c r="T1129" s="283"/>
      <c r="U1129" s="283"/>
    </row>
    <row r="1130" spans="1:21" x14ac:dyDescent="0.3">
      <c r="A1130" s="347" t="str">
        <f t="shared" si="309"/>
        <v>Exclude</v>
      </c>
      <c r="D1130" s="425" t="s">
        <v>1333</v>
      </c>
      <c r="E1130" s="44" t="s">
        <v>273</v>
      </c>
      <c r="F1130" s="10"/>
      <c r="G1130" s="21"/>
      <c r="H1130" s="19" t="s">
        <v>2</v>
      </c>
      <c r="I1130" s="16"/>
      <c r="J1130" s="16">
        <f t="shared" si="289"/>
        <v>0</v>
      </c>
      <c r="K1130" s="304"/>
      <c r="L1130" s="298"/>
      <c r="M1130" s="298">
        <f t="shared" ref="M1130:M1151" si="310">IF(K1130="x","Included in Sub Bid",J1130)</f>
        <v>0</v>
      </c>
      <c r="N1130" s="16"/>
      <c r="O1130" s="104"/>
      <c r="Q1130" s="281"/>
      <c r="R1130" s="281"/>
      <c r="S1130" s="281"/>
      <c r="T1130" s="281"/>
      <c r="U1130" s="281"/>
    </row>
    <row r="1131" spans="1:21" x14ac:dyDescent="0.3">
      <c r="A1131" s="347" t="str">
        <f t="shared" si="309"/>
        <v>Exclude</v>
      </c>
      <c r="D1131" s="425" t="s">
        <v>1333</v>
      </c>
      <c r="E1131" s="44" t="s">
        <v>793</v>
      </c>
      <c r="F1131" s="10"/>
      <c r="G1131" s="21"/>
      <c r="H1131" s="19" t="s">
        <v>1</v>
      </c>
      <c r="I1131" s="16">
        <v>2</v>
      </c>
      <c r="J1131" s="16">
        <f t="shared" si="289"/>
        <v>0</v>
      </c>
      <c r="K1131" s="304"/>
      <c r="L1131" s="298"/>
      <c r="M1131" s="298">
        <f t="shared" si="310"/>
        <v>0</v>
      </c>
      <c r="N1131" s="16"/>
      <c r="O1131" s="104"/>
      <c r="Q1131" s="281"/>
      <c r="R1131" s="281"/>
      <c r="S1131" s="281"/>
      <c r="T1131" s="281"/>
      <c r="U1131" s="281"/>
    </row>
    <row r="1132" spans="1:21" x14ac:dyDescent="0.3">
      <c r="A1132" s="347" t="str">
        <f t="shared" si="309"/>
        <v>Exclude</v>
      </c>
      <c r="D1132" s="425" t="s">
        <v>1333</v>
      </c>
      <c r="E1132" s="44" t="s">
        <v>280</v>
      </c>
      <c r="F1132" s="10"/>
      <c r="G1132" s="21"/>
      <c r="H1132" s="19" t="s">
        <v>2</v>
      </c>
      <c r="I1132" s="16"/>
      <c r="J1132" s="16">
        <f t="shared" si="289"/>
        <v>0</v>
      </c>
      <c r="K1132" s="304"/>
      <c r="L1132" s="298"/>
      <c r="M1132" s="298">
        <f t="shared" si="310"/>
        <v>0</v>
      </c>
      <c r="N1132" s="16"/>
      <c r="O1132" s="104"/>
      <c r="Q1132" s="281"/>
      <c r="R1132" s="281"/>
      <c r="S1132" s="281"/>
      <c r="T1132" s="281"/>
      <c r="U1132" s="281"/>
    </row>
    <row r="1133" spans="1:21" x14ac:dyDescent="0.3">
      <c r="A1133" s="347" t="str">
        <f t="shared" si="309"/>
        <v>Exclude</v>
      </c>
      <c r="D1133" s="425" t="s">
        <v>1333</v>
      </c>
      <c r="E1133" s="36" t="s">
        <v>274</v>
      </c>
      <c r="F1133" s="10"/>
      <c r="G1133" s="21"/>
      <c r="H1133" s="19" t="s">
        <v>2</v>
      </c>
      <c r="I1133" s="16"/>
      <c r="J1133" s="16">
        <f t="shared" si="289"/>
        <v>0</v>
      </c>
      <c r="K1133" s="304"/>
      <c r="L1133" s="298"/>
      <c r="M1133" s="298">
        <f t="shared" si="310"/>
        <v>0</v>
      </c>
      <c r="N1133" s="16"/>
      <c r="O1133" s="104"/>
      <c r="Q1133" s="281"/>
      <c r="R1133" s="281"/>
      <c r="S1133" s="281"/>
      <c r="T1133" s="281"/>
      <c r="U1133" s="281"/>
    </row>
    <row r="1134" spans="1:21" x14ac:dyDescent="0.3">
      <c r="A1134" s="347" t="str">
        <f t="shared" si="309"/>
        <v>Exclude</v>
      </c>
      <c r="D1134" s="425" t="s">
        <v>1333</v>
      </c>
      <c r="E1134" s="36" t="s">
        <v>289</v>
      </c>
      <c r="F1134" s="10"/>
      <c r="G1134" s="21"/>
      <c r="H1134" s="19" t="s">
        <v>2</v>
      </c>
      <c r="I1134" s="16"/>
      <c r="J1134" s="16">
        <f t="shared" si="289"/>
        <v>0</v>
      </c>
      <c r="K1134" s="304"/>
      <c r="L1134" s="298"/>
      <c r="M1134" s="298">
        <f t="shared" si="310"/>
        <v>0</v>
      </c>
      <c r="N1134" s="16"/>
      <c r="O1134" s="104"/>
      <c r="Q1134" s="281"/>
      <c r="R1134" s="281"/>
      <c r="S1134" s="281"/>
      <c r="T1134" s="281"/>
      <c r="U1134" s="281"/>
    </row>
    <row r="1135" spans="1:21" x14ac:dyDescent="0.3">
      <c r="A1135" s="347" t="str">
        <f t="shared" si="309"/>
        <v>Exclude</v>
      </c>
      <c r="D1135" s="425" t="s">
        <v>1333</v>
      </c>
      <c r="E1135" s="36" t="s">
        <v>590</v>
      </c>
      <c r="F1135" s="10"/>
      <c r="G1135" s="21"/>
      <c r="H1135" s="19" t="s">
        <v>2</v>
      </c>
      <c r="I1135" s="16"/>
      <c r="J1135" s="16">
        <f t="shared" ref="J1135" si="311">G1135*I1135</f>
        <v>0</v>
      </c>
      <c r="K1135" s="304"/>
      <c r="L1135" s="298"/>
      <c r="M1135" s="298">
        <f t="shared" si="310"/>
        <v>0</v>
      </c>
      <c r="N1135" s="16"/>
      <c r="O1135" s="104"/>
      <c r="Q1135" s="281"/>
      <c r="R1135" s="281"/>
      <c r="S1135" s="281"/>
      <c r="T1135" s="281"/>
      <c r="U1135" s="281"/>
    </row>
    <row r="1136" spans="1:21" x14ac:dyDescent="0.3">
      <c r="A1136" s="347" t="str">
        <f t="shared" si="309"/>
        <v>Exclude</v>
      </c>
      <c r="D1136" s="425" t="s">
        <v>1333</v>
      </c>
      <c r="E1136" s="36" t="s">
        <v>275</v>
      </c>
      <c r="F1136" s="10"/>
      <c r="G1136" s="21"/>
      <c r="H1136" s="19" t="s">
        <v>2</v>
      </c>
      <c r="I1136" s="16">
        <v>500</v>
      </c>
      <c r="J1136" s="16">
        <f t="shared" si="289"/>
        <v>0</v>
      </c>
      <c r="K1136" s="304"/>
      <c r="L1136" s="298"/>
      <c r="M1136" s="298">
        <f t="shared" si="310"/>
        <v>0</v>
      </c>
      <c r="N1136" s="16"/>
      <c r="O1136" s="104"/>
      <c r="Q1136" s="281"/>
      <c r="R1136" s="281"/>
      <c r="S1136" s="281"/>
      <c r="T1136" s="281"/>
      <c r="U1136" s="281"/>
    </row>
    <row r="1137" spans="1:21" x14ac:dyDescent="0.3">
      <c r="A1137" s="347" t="str">
        <f t="shared" si="309"/>
        <v>Exclude</v>
      </c>
      <c r="D1137" s="425" t="s">
        <v>1333</v>
      </c>
      <c r="E1137" s="36" t="s">
        <v>276</v>
      </c>
      <c r="F1137" s="10"/>
      <c r="G1137" s="21"/>
      <c r="H1137" s="19" t="s">
        <v>2</v>
      </c>
      <c r="I1137" s="16"/>
      <c r="J1137" s="16">
        <f t="shared" si="289"/>
        <v>0</v>
      </c>
      <c r="K1137" s="304"/>
      <c r="L1137" s="298"/>
      <c r="M1137" s="298">
        <f t="shared" si="310"/>
        <v>0</v>
      </c>
      <c r="N1137" s="16"/>
      <c r="O1137" s="104"/>
      <c r="Q1137" s="281"/>
      <c r="R1137" s="281"/>
      <c r="S1137" s="281"/>
      <c r="T1137" s="281"/>
      <c r="U1137" s="281"/>
    </row>
    <row r="1138" spans="1:21" x14ac:dyDescent="0.3">
      <c r="A1138" s="347" t="str">
        <f t="shared" si="309"/>
        <v>Exclude</v>
      </c>
      <c r="D1138" s="425" t="s">
        <v>1333</v>
      </c>
      <c r="E1138" s="36" t="s">
        <v>277</v>
      </c>
      <c r="F1138" s="10"/>
      <c r="G1138" s="21"/>
      <c r="H1138" s="19" t="s">
        <v>2</v>
      </c>
      <c r="I1138" s="16"/>
      <c r="J1138" s="16">
        <f t="shared" si="289"/>
        <v>0</v>
      </c>
      <c r="K1138" s="304"/>
      <c r="L1138" s="298"/>
      <c r="M1138" s="298">
        <f t="shared" si="310"/>
        <v>0</v>
      </c>
      <c r="N1138" s="16"/>
      <c r="O1138" s="104"/>
      <c r="Q1138" s="281"/>
      <c r="R1138" s="281"/>
      <c r="S1138" s="281"/>
      <c r="T1138" s="281"/>
      <c r="U1138" s="281"/>
    </row>
    <row r="1139" spans="1:21" x14ac:dyDescent="0.3">
      <c r="A1139" s="347" t="str">
        <f t="shared" si="309"/>
        <v>Exclude</v>
      </c>
      <c r="D1139" s="425" t="s">
        <v>1333</v>
      </c>
      <c r="E1139" s="36" t="s">
        <v>141</v>
      </c>
      <c r="F1139" s="10"/>
      <c r="G1139" s="21"/>
      <c r="H1139" s="19" t="s">
        <v>2</v>
      </c>
      <c r="I1139" s="16"/>
      <c r="J1139" s="16">
        <f t="shared" ref="J1139" si="312">G1139*I1139</f>
        <v>0</v>
      </c>
      <c r="K1139" s="304"/>
      <c r="L1139" s="298"/>
      <c r="M1139" s="298">
        <f t="shared" si="310"/>
        <v>0</v>
      </c>
      <c r="N1139" s="16"/>
      <c r="O1139" s="104"/>
      <c r="Q1139" s="281"/>
      <c r="R1139" s="281"/>
      <c r="S1139" s="281"/>
      <c r="T1139" s="286"/>
      <c r="U1139" s="281"/>
    </row>
    <row r="1140" spans="1:21" x14ac:dyDescent="0.3">
      <c r="A1140" s="347" t="str">
        <f t="shared" si="309"/>
        <v>Exclude</v>
      </c>
      <c r="D1140" s="425" t="s">
        <v>1333</v>
      </c>
      <c r="E1140" s="36" t="s">
        <v>290</v>
      </c>
      <c r="F1140" s="10"/>
      <c r="G1140" s="21"/>
      <c r="H1140" s="19" t="s">
        <v>2</v>
      </c>
      <c r="I1140" s="16"/>
      <c r="J1140" s="16">
        <f t="shared" si="289"/>
        <v>0</v>
      </c>
      <c r="K1140" s="304"/>
      <c r="L1140" s="298"/>
      <c r="M1140" s="298">
        <f t="shared" si="310"/>
        <v>0</v>
      </c>
      <c r="N1140" s="16"/>
      <c r="O1140" s="104"/>
      <c r="Q1140" s="281"/>
      <c r="R1140" s="281"/>
      <c r="S1140" s="281"/>
      <c r="T1140" s="281"/>
      <c r="U1140" s="281"/>
    </row>
    <row r="1141" spans="1:21" x14ac:dyDescent="0.3">
      <c r="A1141" s="347" t="str">
        <f t="shared" si="309"/>
        <v>Exclude</v>
      </c>
      <c r="D1141" s="425" t="s">
        <v>1333</v>
      </c>
      <c r="E1141" s="36" t="s">
        <v>291</v>
      </c>
      <c r="F1141" s="10"/>
      <c r="G1141" s="21"/>
      <c r="H1141" s="19" t="s">
        <v>2</v>
      </c>
      <c r="I1141" s="16"/>
      <c r="J1141" s="16">
        <f t="shared" si="289"/>
        <v>0</v>
      </c>
      <c r="K1141" s="304"/>
      <c r="L1141" s="298"/>
      <c r="M1141" s="298">
        <f t="shared" si="310"/>
        <v>0</v>
      </c>
      <c r="N1141" s="16"/>
      <c r="O1141" s="104"/>
      <c r="Q1141" s="281"/>
      <c r="R1141" s="281"/>
      <c r="S1141" s="281"/>
      <c r="T1141" s="281"/>
      <c r="U1141" s="281"/>
    </row>
    <row r="1142" spans="1:21" x14ac:dyDescent="0.3">
      <c r="A1142" s="347" t="str">
        <f t="shared" si="309"/>
        <v>Exclude</v>
      </c>
      <c r="D1142" s="425" t="s">
        <v>1333</v>
      </c>
      <c r="E1142" s="36" t="s">
        <v>292</v>
      </c>
      <c r="F1142" s="10"/>
      <c r="G1142" s="21"/>
      <c r="H1142" s="19" t="s">
        <v>2</v>
      </c>
      <c r="I1142" s="16"/>
      <c r="J1142" s="16">
        <f t="shared" si="289"/>
        <v>0</v>
      </c>
      <c r="K1142" s="304"/>
      <c r="L1142" s="298"/>
      <c r="M1142" s="298">
        <f t="shared" si="310"/>
        <v>0</v>
      </c>
      <c r="N1142" s="16"/>
      <c r="O1142" s="104"/>
      <c r="Q1142" s="286"/>
      <c r="R1142" s="281"/>
      <c r="S1142" s="281"/>
      <c r="T1142" s="281"/>
      <c r="U1142" s="281"/>
    </row>
    <row r="1143" spans="1:21" x14ac:dyDescent="0.3">
      <c r="A1143" s="347" t="str">
        <f t="shared" si="309"/>
        <v>Exclude</v>
      </c>
      <c r="D1143" s="425" t="s">
        <v>1333</v>
      </c>
      <c r="E1143" s="36" t="s">
        <v>278</v>
      </c>
      <c r="F1143" s="10"/>
      <c r="G1143" s="21"/>
      <c r="H1143" s="19" t="s">
        <v>2</v>
      </c>
      <c r="I1143" s="16"/>
      <c r="J1143" s="16">
        <f t="shared" si="289"/>
        <v>0</v>
      </c>
      <c r="K1143" s="304"/>
      <c r="L1143" s="298"/>
      <c r="M1143" s="298">
        <f t="shared" si="310"/>
        <v>0</v>
      </c>
      <c r="N1143" s="16"/>
      <c r="O1143" s="104"/>
      <c r="Q1143" s="286"/>
      <c r="R1143" s="281"/>
      <c r="S1143" s="281"/>
      <c r="T1143" s="281"/>
      <c r="U1143" s="281"/>
    </row>
    <row r="1144" spans="1:21" x14ac:dyDescent="0.3">
      <c r="A1144" s="347" t="str">
        <f t="shared" si="309"/>
        <v>Exclude</v>
      </c>
      <c r="D1144" s="425" t="s">
        <v>1333</v>
      </c>
      <c r="E1144" s="36" t="s">
        <v>279</v>
      </c>
      <c r="F1144" s="10"/>
      <c r="G1144" s="21"/>
      <c r="H1144" s="19" t="s">
        <v>2</v>
      </c>
      <c r="I1144" s="16">
        <v>1500</v>
      </c>
      <c r="J1144" s="16">
        <f t="shared" si="289"/>
        <v>0</v>
      </c>
      <c r="K1144" s="304"/>
      <c r="L1144" s="298"/>
      <c r="M1144" s="298">
        <f t="shared" si="310"/>
        <v>0</v>
      </c>
      <c r="N1144" s="16"/>
      <c r="O1144" s="104"/>
      <c r="Q1144" s="281"/>
      <c r="R1144" s="281"/>
      <c r="S1144" s="281"/>
      <c r="T1144" s="281"/>
      <c r="U1144" s="281"/>
    </row>
    <row r="1145" spans="1:21" x14ac:dyDescent="0.3">
      <c r="A1145" s="347" t="str">
        <f t="shared" si="309"/>
        <v>Exclude</v>
      </c>
      <c r="D1145" s="425" t="s">
        <v>1333</v>
      </c>
      <c r="E1145" s="36" t="s">
        <v>1194</v>
      </c>
      <c r="F1145" s="10"/>
      <c r="G1145" s="21"/>
      <c r="H1145" s="19" t="s">
        <v>0</v>
      </c>
      <c r="I1145" s="16">
        <v>500</v>
      </c>
      <c r="J1145" s="16">
        <f t="shared" si="289"/>
        <v>0</v>
      </c>
      <c r="K1145" s="304"/>
      <c r="L1145" s="298"/>
      <c r="M1145" s="298">
        <f t="shared" si="310"/>
        <v>0</v>
      </c>
      <c r="N1145" s="16"/>
      <c r="O1145" s="104"/>
      <c r="Q1145" s="281"/>
      <c r="R1145" s="281"/>
      <c r="S1145" s="281"/>
      <c r="T1145" s="281"/>
      <c r="U1145" s="281"/>
    </row>
    <row r="1146" spans="1:21" x14ac:dyDescent="0.3">
      <c r="A1146" s="347" t="str">
        <f t="shared" si="309"/>
        <v>Exclude</v>
      </c>
      <c r="D1146" s="425" t="s">
        <v>1333</v>
      </c>
      <c r="E1146" s="36" t="s">
        <v>293</v>
      </c>
      <c r="F1146" s="10"/>
      <c r="G1146" s="21"/>
      <c r="H1146" s="12" t="s">
        <v>1</v>
      </c>
      <c r="I1146" s="16"/>
      <c r="J1146" s="16">
        <f t="shared" si="289"/>
        <v>0</v>
      </c>
      <c r="K1146" s="304"/>
      <c r="L1146" s="298"/>
      <c r="M1146" s="298">
        <f t="shared" si="310"/>
        <v>0</v>
      </c>
      <c r="N1146" s="16"/>
      <c r="O1146" s="104"/>
      <c r="Q1146" s="281"/>
      <c r="R1146" s="281"/>
      <c r="S1146" s="281"/>
      <c r="T1146" s="281"/>
      <c r="U1146" s="281"/>
    </row>
    <row r="1147" spans="1:21" x14ac:dyDescent="0.3">
      <c r="A1147" s="347" t="str">
        <f t="shared" si="309"/>
        <v>Exclude</v>
      </c>
      <c r="D1147" s="425" t="s">
        <v>1333</v>
      </c>
      <c r="E1147" s="36" t="s">
        <v>244</v>
      </c>
      <c r="F1147" s="10"/>
      <c r="G1147" s="21"/>
      <c r="H1147" s="19" t="s">
        <v>0</v>
      </c>
      <c r="I1147" s="16"/>
      <c r="J1147" s="16">
        <f t="shared" si="289"/>
        <v>0</v>
      </c>
      <c r="K1147" s="304"/>
      <c r="L1147" s="298"/>
      <c r="M1147" s="298">
        <f t="shared" si="310"/>
        <v>0</v>
      </c>
      <c r="N1147" s="16"/>
      <c r="O1147" s="104"/>
      <c r="Q1147" s="281"/>
      <c r="R1147" s="281"/>
      <c r="S1147" s="281"/>
      <c r="T1147" s="281"/>
      <c r="U1147" s="281"/>
    </row>
    <row r="1148" spans="1:21" x14ac:dyDescent="0.3">
      <c r="A1148" s="347" t="str">
        <f t="shared" si="309"/>
        <v>Exclude</v>
      </c>
      <c r="D1148" s="425" t="s">
        <v>1333</v>
      </c>
      <c r="E1148" s="36" t="s">
        <v>245</v>
      </c>
      <c r="F1148" s="10"/>
      <c r="G1148" s="21"/>
      <c r="H1148" s="19" t="s">
        <v>20</v>
      </c>
      <c r="I1148" s="16"/>
      <c r="J1148" s="16">
        <f t="shared" si="289"/>
        <v>0</v>
      </c>
      <c r="K1148" s="304"/>
      <c r="L1148" s="298"/>
      <c r="M1148" s="298">
        <f t="shared" si="310"/>
        <v>0</v>
      </c>
      <c r="N1148" s="16"/>
      <c r="O1148" s="104"/>
      <c r="Q1148" s="281"/>
      <c r="R1148" s="281"/>
      <c r="S1148" s="281"/>
      <c r="T1148" s="281"/>
      <c r="U1148" s="281"/>
    </row>
    <row r="1149" spans="1:21" x14ac:dyDescent="0.3">
      <c r="A1149" s="347" t="str">
        <f t="shared" si="309"/>
        <v>Exclude</v>
      </c>
      <c r="D1149" s="425" t="s">
        <v>1333</v>
      </c>
      <c r="E1149" s="36" t="s">
        <v>246</v>
      </c>
      <c r="F1149" s="10"/>
      <c r="G1149" s="21"/>
      <c r="H1149" s="19" t="s">
        <v>2</v>
      </c>
      <c r="I1149" s="16"/>
      <c r="J1149" s="16">
        <f t="shared" si="289"/>
        <v>0</v>
      </c>
      <c r="K1149" s="304"/>
      <c r="L1149" s="298"/>
      <c r="M1149" s="298">
        <f t="shared" si="310"/>
        <v>0</v>
      </c>
      <c r="N1149" s="16"/>
      <c r="O1149" s="104"/>
      <c r="Q1149" s="281"/>
      <c r="R1149" s="281"/>
      <c r="S1149" s="281"/>
      <c r="T1149" s="286"/>
      <c r="U1149" s="281"/>
    </row>
    <row r="1150" spans="1:21" x14ac:dyDescent="0.3">
      <c r="A1150" s="347" t="str">
        <f t="shared" si="309"/>
        <v>Exclude</v>
      </c>
      <c r="D1150" s="425" t="s">
        <v>1333</v>
      </c>
      <c r="E1150" s="36" t="s">
        <v>383</v>
      </c>
      <c r="F1150" s="10"/>
      <c r="G1150" s="21"/>
      <c r="H1150" s="19" t="s">
        <v>2</v>
      </c>
      <c r="I1150" s="16"/>
      <c r="J1150" s="16">
        <f t="shared" si="289"/>
        <v>0</v>
      </c>
      <c r="K1150" s="304"/>
      <c r="L1150" s="298"/>
      <c r="M1150" s="298">
        <f t="shared" si="310"/>
        <v>0</v>
      </c>
      <c r="N1150" s="16"/>
      <c r="O1150" s="104"/>
      <c r="Q1150" s="281"/>
      <c r="R1150" s="281"/>
      <c r="S1150" s="281"/>
      <c r="T1150" s="281"/>
      <c r="U1150" s="281"/>
    </row>
    <row r="1151" spans="1:21" x14ac:dyDescent="0.3">
      <c r="A1151" s="347" t="str">
        <f t="shared" si="309"/>
        <v>Exclude</v>
      </c>
      <c r="D1151" s="425" t="s">
        <v>1333</v>
      </c>
      <c r="E1151" s="36" t="s">
        <v>247</v>
      </c>
      <c r="F1151" s="10"/>
      <c r="G1151" s="21"/>
      <c r="H1151" s="19" t="s">
        <v>2</v>
      </c>
      <c r="I1151" s="16"/>
      <c r="J1151" s="16">
        <f>G1151*I1151</f>
        <v>0</v>
      </c>
      <c r="K1151" s="304"/>
      <c r="L1151" s="298"/>
      <c r="M1151" s="298">
        <f t="shared" si="310"/>
        <v>0</v>
      </c>
      <c r="N1151" s="16"/>
      <c r="O1151" s="104"/>
      <c r="Q1151" s="281"/>
      <c r="R1151" s="281"/>
      <c r="S1151" s="281"/>
      <c r="T1151" s="281"/>
      <c r="U1151" s="281"/>
    </row>
    <row r="1152" spans="1:21" x14ac:dyDescent="0.3">
      <c r="A1152" s="347" t="str">
        <f t="shared" si="309"/>
        <v>Exclude</v>
      </c>
      <c r="D1152" s="427" t="s">
        <v>1333</v>
      </c>
      <c r="E1152" s="199" t="s">
        <v>943</v>
      </c>
      <c r="F1152" s="200"/>
      <c r="G1152" s="201"/>
      <c r="H1152" s="202" t="s">
        <v>0</v>
      </c>
      <c r="I1152" s="203"/>
      <c r="J1152" s="203"/>
      <c r="K1152" s="304"/>
      <c r="L1152" s="302"/>
      <c r="M1152" s="302">
        <f>IF(K1152="x","Included in Sub Bid",G1152*I1152)</f>
        <v>0</v>
      </c>
      <c r="N1152" s="16"/>
      <c r="O1152" s="104"/>
      <c r="Q1152" s="281"/>
      <c r="R1152" s="281"/>
      <c r="S1152" s="281"/>
      <c r="T1152" s="281"/>
      <c r="U1152" s="281"/>
    </row>
    <row r="1153" spans="1:21" x14ac:dyDescent="0.3">
      <c r="A1153" s="347" t="str">
        <f t="shared" si="309"/>
        <v>Exclude</v>
      </c>
      <c r="D1153" s="427" t="s">
        <v>1333</v>
      </c>
      <c r="E1153" s="199" t="s">
        <v>944</v>
      </c>
      <c r="F1153" s="200"/>
      <c r="G1153" s="201"/>
      <c r="H1153" s="202" t="s">
        <v>0</v>
      </c>
      <c r="I1153" s="203"/>
      <c r="J1153" s="203"/>
      <c r="K1153" s="304"/>
      <c r="L1153" s="302"/>
      <c r="M1153" s="302">
        <f>IF(K1153="x","Included in Sub Bid",G1153*I1153)</f>
        <v>0</v>
      </c>
      <c r="N1153" s="16"/>
      <c r="O1153" s="104"/>
      <c r="Q1153" s="281"/>
      <c r="R1153" s="281"/>
      <c r="S1153" s="281"/>
      <c r="T1153" s="281"/>
      <c r="U1153" s="281"/>
    </row>
    <row r="1154" spans="1:21" x14ac:dyDescent="0.3">
      <c r="A1154" s="347" t="str">
        <f t="shared" si="309"/>
        <v>Exclude</v>
      </c>
      <c r="D1154" s="425"/>
      <c r="E1154" s="36"/>
      <c r="F1154" s="10"/>
      <c r="G1154" s="21"/>
      <c r="H1154" s="19"/>
      <c r="I1154" s="16"/>
      <c r="J1154" s="16"/>
      <c r="K1154" s="304"/>
      <c r="L1154" s="298"/>
      <c r="M1154" s="298"/>
      <c r="N1154" s="16"/>
      <c r="O1154" s="104"/>
      <c r="Q1154" s="281"/>
      <c r="R1154" s="281"/>
      <c r="S1154" s="281"/>
      <c r="T1154" s="281"/>
      <c r="U1154" s="281"/>
    </row>
    <row r="1155" spans="1:21" x14ac:dyDescent="0.3">
      <c r="A1155" s="347" t="str">
        <f t="shared" si="309"/>
        <v>Exclude</v>
      </c>
      <c r="D1155" s="425"/>
      <c r="E1155" s="48"/>
      <c r="F1155" s="10"/>
      <c r="G1155" s="21"/>
      <c r="H1155" s="19"/>
      <c r="I1155" s="16"/>
      <c r="J1155" s="16"/>
      <c r="K1155" s="301"/>
      <c r="L1155" s="298"/>
      <c r="M1155" s="298"/>
      <c r="N1155" s="16"/>
      <c r="O1155" s="104"/>
      <c r="Q1155" s="281"/>
      <c r="R1155" s="281"/>
      <c r="S1155" s="281"/>
      <c r="T1155" s="281"/>
      <c r="U1155" s="281"/>
    </row>
    <row r="1156" spans="1:21" ht="15.5" x14ac:dyDescent="0.3">
      <c r="A1156" s="347" t="str">
        <f>IF(J1156=0,"Exclude","x")</f>
        <v>Exclude</v>
      </c>
      <c r="D1156" s="424" t="s">
        <v>802</v>
      </c>
      <c r="E1156" s="69" t="s">
        <v>650</v>
      </c>
      <c r="F1156" s="56"/>
      <c r="G1156" s="57"/>
      <c r="H1156" s="58"/>
      <c r="I1156" s="59"/>
      <c r="J1156" s="60">
        <f>SUBTOTAL(9,J1157:J1169)</f>
        <v>0</v>
      </c>
      <c r="K1156" s="59">
        <f>IFERROR(J1156/$G$6,0)</f>
        <v>0</v>
      </c>
      <c r="L1156" s="309"/>
      <c r="M1156" s="60"/>
      <c r="N1156" s="59">
        <f>SUM(M1157:M1169)</f>
        <v>0</v>
      </c>
      <c r="O1156" s="435">
        <f>IFERROR(N1156/$G$6,0)</f>
        <v>0</v>
      </c>
      <c r="Q1156" s="281"/>
      <c r="R1156" s="281"/>
      <c r="S1156" s="281"/>
      <c r="T1156" s="281"/>
      <c r="U1156" s="281"/>
    </row>
    <row r="1157" spans="1:21" x14ac:dyDescent="0.3">
      <c r="A1157" s="347" t="str">
        <f t="shared" ref="A1157:A1169" si="313">A1156</f>
        <v>Exclude</v>
      </c>
      <c r="D1157" s="426" t="s">
        <v>1335</v>
      </c>
      <c r="E1157" s="39" t="s">
        <v>1203</v>
      </c>
      <c r="F1157" s="24"/>
      <c r="G1157" s="292"/>
      <c r="H1157" s="25"/>
      <c r="I1157" s="293"/>
      <c r="J1157" s="293"/>
      <c r="K1157" s="301"/>
      <c r="L1157" s="300">
        <v>0</v>
      </c>
      <c r="M1157" s="301">
        <f>L1157</f>
        <v>0</v>
      </c>
      <c r="N1157" s="293"/>
      <c r="O1157" s="294"/>
      <c r="Q1157" s="282"/>
      <c r="R1157" s="281"/>
      <c r="S1157" s="283"/>
      <c r="T1157" s="283"/>
      <c r="U1157" s="283"/>
    </row>
    <row r="1158" spans="1:21" x14ac:dyDescent="0.3">
      <c r="A1158" s="347" t="str">
        <f t="shared" si="313"/>
        <v>Exclude</v>
      </c>
      <c r="D1158" s="425" t="s">
        <v>1335</v>
      </c>
      <c r="E1158" s="44" t="s">
        <v>242</v>
      </c>
      <c r="F1158" s="10"/>
      <c r="G1158" s="21"/>
      <c r="H1158" s="19" t="s">
        <v>2</v>
      </c>
      <c r="I1158" s="16"/>
      <c r="J1158" s="16">
        <f t="shared" ref="J1158:J1165" si="314">G1158*I1158</f>
        <v>0</v>
      </c>
      <c r="K1158" s="304"/>
      <c r="L1158" s="298"/>
      <c r="M1158" s="298">
        <f t="shared" ref="M1158:M1165" si="315">IF(K1158="x","Included in Sub Bid",J1158)</f>
        <v>0</v>
      </c>
      <c r="N1158" s="16"/>
      <c r="O1158" s="104"/>
      <c r="Q1158" s="281"/>
      <c r="R1158" s="281"/>
      <c r="S1158" s="281"/>
      <c r="T1158" s="281"/>
      <c r="U1158" s="281"/>
    </row>
    <row r="1159" spans="1:21" x14ac:dyDescent="0.3">
      <c r="A1159" s="347" t="str">
        <f t="shared" si="313"/>
        <v>Exclude</v>
      </c>
      <c r="D1159" s="425" t="s">
        <v>1335</v>
      </c>
      <c r="E1159" s="44" t="s">
        <v>475</v>
      </c>
      <c r="F1159" s="10"/>
      <c r="G1159" s="21"/>
      <c r="H1159" s="19" t="s">
        <v>2</v>
      </c>
      <c r="I1159" s="16"/>
      <c r="J1159" s="16">
        <f t="shared" ref="J1159:J1160" si="316">G1159*I1159</f>
        <v>0</v>
      </c>
      <c r="K1159" s="304"/>
      <c r="L1159" s="298"/>
      <c r="M1159" s="298">
        <f t="shared" si="315"/>
        <v>0</v>
      </c>
      <c r="N1159" s="16"/>
      <c r="O1159" s="104"/>
      <c r="Q1159" s="281"/>
      <c r="R1159" s="281"/>
      <c r="S1159" s="281"/>
      <c r="T1159" s="281"/>
      <c r="U1159" s="281"/>
    </row>
    <row r="1160" spans="1:21" x14ac:dyDescent="0.3">
      <c r="A1160" s="347" t="str">
        <f t="shared" si="313"/>
        <v>Exclude</v>
      </c>
      <c r="D1160" s="425" t="s">
        <v>1335</v>
      </c>
      <c r="E1160" s="44" t="s">
        <v>501</v>
      </c>
      <c r="F1160" s="10"/>
      <c r="G1160" s="21"/>
      <c r="H1160" s="19" t="s">
        <v>2</v>
      </c>
      <c r="I1160" s="16">
        <v>300</v>
      </c>
      <c r="J1160" s="16">
        <f t="shared" si="316"/>
        <v>0</v>
      </c>
      <c r="K1160" s="304"/>
      <c r="L1160" s="298"/>
      <c r="M1160" s="298">
        <f t="shared" si="315"/>
        <v>0</v>
      </c>
      <c r="N1160" s="16"/>
      <c r="O1160" s="104"/>
      <c r="Q1160" s="281"/>
      <c r="R1160" s="281"/>
      <c r="S1160" s="281"/>
      <c r="T1160" s="281"/>
      <c r="U1160" s="281"/>
    </row>
    <row r="1161" spans="1:21" x14ac:dyDescent="0.3">
      <c r="A1161" s="347" t="str">
        <f t="shared" si="313"/>
        <v>Exclude</v>
      </c>
      <c r="D1161" s="425" t="s">
        <v>1335</v>
      </c>
      <c r="E1161" s="44" t="s">
        <v>502</v>
      </c>
      <c r="F1161" s="10"/>
      <c r="G1161" s="21"/>
      <c r="H1161" s="19" t="s">
        <v>2</v>
      </c>
      <c r="I1161" s="16"/>
      <c r="J1161" s="16">
        <f t="shared" ref="J1161" si="317">G1161*I1161</f>
        <v>0</v>
      </c>
      <c r="K1161" s="304"/>
      <c r="L1161" s="298"/>
      <c r="M1161" s="298">
        <f t="shared" si="315"/>
        <v>0</v>
      </c>
      <c r="N1161" s="16"/>
      <c r="O1161" s="104"/>
      <c r="Q1161" s="281"/>
      <c r="R1161" s="281"/>
      <c r="S1161" s="281"/>
      <c r="T1161" s="281"/>
      <c r="U1161" s="281"/>
    </row>
    <row r="1162" spans="1:21" x14ac:dyDescent="0.3">
      <c r="A1162" s="347" t="str">
        <f t="shared" si="313"/>
        <v>Exclude</v>
      </c>
      <c r="D1162" s="425" t="s">
        <v>1335</v>
      </c>
      <c r="E1162" s="44" t="s">
        <v>243</v>
      </c>
      <c r="F1162" s="10"/>
      <c r="G1162" s="21"/>
      <c r="H1162" s="19" t="s">
        <v>2</v>
      </c>
      <c r="I1162" s="16"/>
      <c r="J1162" s="16">
        <f t="shared" si="314"/>
        <v>0</v>
      </c>
      <c r="K1162" s="304"/>
      <c r="L1162" s="298"/>
      <c r="M1162" s="298">
        <f t="shared" si="315"/>
        <v>0</v>
      </c>
      <c r="N1162" s="16"/>
      <c r="O1162" s="104"/>
      <c r="Q1162" s="281"/>
      <c r="R1162" s="281"/>
      <c r="S1162" s="281"/>
      <c r="T1162" s="281"/>
      <c r="U1162" s="281"/>
    </row>
    <row r="1163" spans="1:21" x14ac:dyDescent="0.3">
      <c r="A1163" s="347" t="str">
        <f t="shared" si="313"/>
        <v>Exclude</v>
      </c>
      <c r="D1163" s="425" t="s">
        <v>1335</v>
      </c>
      <c r="E1163" s="44" t="s">
        <v>137</v>
      </c>
      <c r="F1163" s="10"/>
      <c r="G1163" s="21"/>
      <c r="H1163" s="19" t="s">
        <v>2</v>
      </c>
      <c r="I1163" s="16"/>
      <c r="J1163" s="16">
        <f t="shared" si="314"/>
        <v>0</v>
      </c>
      <c r="K1163" s="304"/>
      <c r="L1163" s="298"/>
      <c r="M1163" s="298">
        <f t="shared" si="315"/>
        <v>0</v>
      </c>
      <c r="N1163" s="16"/>
      <c r="O1163" s="104"/>
      <c r="Q1163" s="281"/>
      <c r="R1163" s="281"/>
      <c r="S1163" s="281"/>
      <c r="T1163" s="281"/>
      <c r="U1163" s="281"/>
    </row>
    <row r="1164" spans="1:21" x14ac:dyDescent="0.3">
      <c r="A1164" s="347" t="str">
        <f t="shared" si="313"/>
        <v>Exclude</v>
      </c>
      <c r="D1164" s="425" t="s">
        <v>1335</v>
      </c>
      <c r="E1164" s="44" t="s">
        <v>138</v>
      </c>
      <c r="F1164" s="10"/>
      <c r="G1164" s="21"/>
      <c r="H1164" s="19" t="s">
        <v>2</v>
      </c>
      <c r="I1164" s="16">
        <v>250</v>
      </c>
      <c r="J1164" s="16">
        <f t="shared" si="314"/>
        <v>0</v>
      </c>
      <c r="K1164" s="304"/>
      <c r="L1164" s="298"/>
      <c r="M1164" s="298">
        <f t="shared" si="315"/>
        <v>0</v>
      </c>
      <c r="N1164" s="16"/>
      <c r="O1164" s="104"/>
      <c r="Q1164" s="281"/>
      <c r="R1164" s="281"/>
      <c r="S1164" s="281"/>
      <c r="T1164" s="281"/>
      <c r="U1164" s="281"/>
    </row>
    <row r="1165" spans="1:21" x14ac:dyDescent="0.3">
      <c r="A1165" s="347" t="str">
        <f t="shared" si="313"/>
        <v>Exclude</v>
      </c>
      <c r="D1165" s="425" t="s">
        <v>1335</v>
      </c>
      <c r="E1165" s="44" t="s">
        <v>754</v>
      </c>
      <c r="F1165" s="10"/>
      <c r="G1165" s="21"/>
      <c r="H1165" s="19" t="s">
        <v>2</v>
      </c>
      <c r="I1165" s="16"/>
      <c r="J1165" s="16">
        <f t="shared" si="314"/>
        <v>0</v>
      </c>
      <c r="K1165" s="304"/>
      <c r="L1165" s="298"/>
      <c r="M1165" s="298">
        <f t="shared" si="315"/>
        <v>0</v>
      </c>
      <c r="N1165" s="16"/>
      <c r="O1165" s="104"/>
      <c r="Q1165" s="281"/>
      <c r="R1165" s="281"/>
      <c r="S1165" s="281"/>
      <c r="T1165" s="281"/>
      <c r="U1165" s="281"/>
    </row>
    <row r="1166" spans="1:21" x14ac:dyDescent="0.3">
      <c r="A1166" s="347" t="str">
        <f t="shared" si="313"/>
        <v>Exclude</v>
      </c>
      <c r="D1166" s="427" t="s">
        <v>1335</v>
      </c>
      <c r="E1166" s="199" t="s">
        <v>943</v>
      </c>
      <c r="F1166" s="200"/>
      <c r="G1166" s="201"/>
      <c r="H1166" s="202" t="s">
        <v>0</v>
      </c>
      <c r="I1166" s="203"/>
      <c r="J1166" s="203"/>
      <c r="K1166" s="304"/>
      <c r="L1166" s="302"/>
      <c r="M1166" s="302">
        <f>IF(K1166="x","Included in Sub Bid",G1166*I1166)</f>
        <v>0</v>
      </c>
      <c r="N1166" s="16"/>
      <c r="O1166" s="104"/>
      <c r="Q1166" s="281"/>
      <c r="R1166" s="281"/>
      <c r="S1166" s="281"/>
      <c r="T1166" s="281"/>
      <c r="U1166" s="281"/>
    </row>
    <row r="1167" spans="1:21" x14ac:dyDescent="0.3">
      <c r="A1167" s="347" t="str">
        <f t="shared" si="313"/>
        <v>Exclude</v>
      </c>
      <c r="D1167" s="427" t="s">
        <v>1335</v>
      </c>
      <c r="E1167" s="199" t="s">
        <v>944</v>
      </c>
      <c r="F1167" s="200"/>
      <c r="G1167" s="201"/>
      <c r="H1167" s="202" t="s">
        <v>0</v>
      </c>
      <c r="I1167" s="203"/>
      <c r="J1167" s="203"/>
      <c r="K1167" s="304"/>
      <c r="L1167" s="302"/>
      <c r="M1167" s="302">
        <f>IF(K1167="x","Included in Sub Bid",G1167*I1167)</f>
        <v>0</v>
      </c>
      <c r="N1167" s="16"/>
      <c r="O1167" s="104"/>
      <c r="Q1167" s="281"/>
      <c r="R1167" s="281"/>
      <c r="S1167" s="281"/>
      <c r="T1167" s="281"/>
      <c r="U1167" s="281"/>
    </row>
    <row r="1168" spans="1:21" x14ac:dyDescent="0.3">
      <c r="A1168" s="347" t="str">
        <f t="shared" si="313"/>
        <v>Exclude</v>
      </c>
      <c r="D1168" s="425"/>
      <c r="E1168" s="44"/>
      <c r="F1168" s="10"/>
      <c r="G1168" s="21"/>
      <c r="H1168" s="19"/>
      <c r="I1168" s="16"/>
      <c r="J1168" s="16"/>
      <c r="K1168" s="304"/>
      <c r="L1168" s="298"/>
      <c r="M1168" s="298"/>
      <c r="N1168" s="16"/>
      <c r="O1168" s="104"/>
      <c r="Q1168" s="281"/>
      <c r="R1168" s="281"/>
      <c r="S1168" s="281"/>
      <c r="T1168" s="281"/>
      <c r="U1168" s="281"/>
    </row>
    <row r="1169" spans="1:21" x14ac:dyDescent="0.3">
      <c r="A1169" s="347" t="str">
        <f t="shared" si="313"/>
        <v>Exclude</v>
      </c>
      <c r="D1169" s="425"/>
      <c r="E1169" s="48"/>
      <c r="F1169" s="10"/>
      <c r="G1169" s="21"/>
      <c r="H1169" s="19"/>
      <c r="I1169" s="16"/>
      <c r="J1169" s="16"/>
      <c r="K1169" s="301"/>
      <c r="L1169" s="298"/>
      <c r="M1169" s="298"/>
      <c r="N1169" s="16"/>
      <c r="O1169" s="104"/>
      <c r="Q1169" s="281"/>
      <c r="R1169" s="281"/>
      <c r="S1169" s="281"/>
      <c r="T1169" s="281"/>
      <c r="U1169" s="281"/>
    </row>
    <row r="1170" spans="1:21" ht="15.5" x14ac:dyDescent="0.3">
      <c r="A1170" s="347" t="str">
        <f>IF(J1170=0,"Exclude","x")</f>
        <v>Exclude</v>
      </c>
      <c r="D1170" s="424" t="s">
        <v>804</v>
      </c>
      <c r="E1170" s="69" t="s">
        <v>734</v>
      </c>
      <c r="F1170" s="56"/>
      <c r="G1170" s="57"/>
      <c r="H1170" s="58"/>
      <c r="I1170" s="59"/>
      <c r="J1170" s="60">
        <f>SUBTOTAL(9,J1171:J1179)</f>
        <v>0</v>
      </c>
      <c r="K1170" s="59">
        <f>IFERROR(J1170/$G$6,0)</f>
        <v>0</v>
      </c>
      <c r="L1170" s="309"/>
      <c r="M1170" s="60"/>
      <c r="N1170" s="59">
        <f>SUM(M1171:M1179)</f>
        <v>0</v>
      </c>
      <c r="O1170" s="435">
        <f>IFERROR(N1170/$G$6,0)</f>
        <v>0</v>
      </c>
      <c r="Q1170" s="281"/>
      <c r="R1170" s="281"/>
      <c r="S1170" s="281"/>
      <c r="T1170" s="281"/>
      <c r="U1170" s="281"/>
    </row>
    <row r="1171" spans="1:21" x14ac:dyDescent="0.3">
      <c r="A1171" s="347" t="str">
        <f t="shared" ref="A1171:A1179" si="318">A1170</f>
        <v>Exclude</v>
      </c>
      <c r="D1171" s="426" t="s">
        <v>1336</v>
      </c>
      <c r="E1171" s="39" t="s">
        <v>1203</v>
      </c>
      <c r="F1171" s="24"/>
      <c r="G1171" s="292"/>
      <c r="H1171" s="25"/>
      <c r="I1171" s="293"/>
      <c r="J1171" s="293"/>
      <c r="K1171" s="301"/>
      <c r="L1171" s="300">
        <v>0</v>
      </c>
      <c r="M1171" s="301">
        <f>L1171</f>
        <v>0</v>
      </c>
      <c r="N1171" s="293"/>
      <c r="O1171" s="294"/>
      <c r="Q1171" s="282"/>
      <c r="R1171" s="281"/>
      <c r="S1171" s="283"/>
      <c r="T1171" s="283"/>
      <c r="U1171" s="283"/>
    </row>
    <row r="1172" spans="1:21" x14ac:dyDescent="0.3">
      <c r="A1172" s="347" t="str">
        <f t="shared" si="318"/>
        <v>Exclude</v>
      </c>
      <c r="D1172" s="425" t="s">
        <v>1336</v>
      </c>
      <c r="E1172" s="44" t="s">
        <v>470</v>
      </c>
      <c r="F1172" s="10" t="s">
        <v>472</v>
      </c>
      <c r="G1172" s="21"/>
      <c r="H1172" s="19" t="s">
        <v>3</v>
      </c>
      <c r="I1172" s="16"/>
      <c r="J1172" s="16">
        <f t="shared" ref="J1172:J1175" si="319">G1172*I1172</f>
        <v>0</v>
      </c>
      <c r="K1172" s="304"/>
      <c r="L1172" s="298"/>
      <c r="M1172" s="298">
        <f t="shared" ref="M1172:M1175" si="320">IF(K1172="x","Included in Sub Bid",J1172)</f>
        <v>0</v>
      </c>
      <c r="N1172" s="16"/>
      <c r="O1172" s="104"/>
      <c r="Q1172" s="281"/>
      <c r="R1172" s="281"/>
      <c r="S1172" s="281"/>
      <c r="T1172" s="281"/>
      <c r="U1172" s="281"/>
    </row>
    <row r="1173" spans="1:21" x14ac:dyDescent="0.3">
      <c r="A1173" s="347" t="str">
        <f t="shared" si="318"/>
        <v>Exclude</v>
      </c>
      <c r="D1173" s="425" t="s">
        <v>1336</v>
      </c>
      <c r="E1173" s="44" t="s">
        <v>470</v>
      </c>
      <c r="F1173" s="10" t="s">
        <v>473</v>
      </c>
      <c r="G1173" s="21"/>
      <c r="H1173" s="19" t="s">
        <v>3</v>
      </c>
      <c r="I1173" s="16"/>
      <c r="J1173" s="16">
        <f t="shared" si="319"/>
        <v>0</v>
      </c>
      <c r="K1173" s="304"/>
      <c r="L1173" s="298"/>
      <c r="M1173" s="298">
        <f t="shared" si="320"/>
        <v>0</v>
      </c>
      <c r="N1173" s="16"/>
      <c r="O1173" s="104"/>
      <c r="Q1173" s="281"/>
      <c r="R1173" s="281"/>
      <c r="S1173" s="281"/>
      <c r="T1173" s="281"/>
      <c r="U1173" s="281"/>
    </row>
    <row r="1174" spans="1:21" x14ac:dyDescent="0.3">
      <c r="A1174" s="347" t="str">
        <f t="shared" si="318"/>
        <v>Exclude</v>
      </c>
      <c r="D1174" s="425" t="s">
        <v>1336</v>
      </c>
      <c r="E1174" s="44" t="s">
        <v>680</v>
      </c>
      <c r="F1174" s="10"/>
      <c r="G1174" s="21"/>
      <c r="H1174" s="19" t="s">
        <v>1</v>
      </c>
      <c r="I1174" s="16"/>
      <c r="J1174" s="16">
        <f t="shared" si="319"/>
        <v>0</v>
      </c>
      <c r="K1174" s="304"/>
      <c r="L1174" s="298"/>
      <c r="M1174" s="298">
        <f t="shared" si="320"/>
        <v>0</v>
      </c>
      <c r="N1174" s="16"/>
      <c r="O1174" s="104"/>
      <c r="Q1174" s="281"/>
      <c r="R1174" s="281"/>
      <c r="S1174" s="281"/>
      <c r="T1174" s="281"/>
      <c r="U1174" s="281"/>
    </row>
    <row r="1175" spans="1:21" x14ac:dyDescent="0.3">
      <c r="A1175" s="347" t="str">
        <f t="shared" si="318"/>
        <v>Exclude</v>
      </c>
      <c r="D1175" s="425" t="s">
        <v>1336</v>
      </c>
      <c r="E1175" s="44" t="s">
        <v>471</v>
      </c>
      <c r="F1175" s="10"/>
      <c r="G1175" s="21"/>
      <c r="H1175" s="19" t="s">
        <v>3</v>
      </c>
      <c r="I1175" s="16"/>
      <c r="J1175" s="16">
        <f t="shared" si="319"/>
        <v>0</v>
      </c>
      <c r="K1175" s="304"/>
      <c r="L1175" s="298"/>
      <c r="M1175" s="298">
        <f t="shared" si="320"/>
        <v>0</v>
      </c>
      <c r="N1175" s="16"/>
      <c r="O1175" s="104"/>
      <c r="Q1175" s="281"/>
      <c r="R1175" s="281"/>
      <c r="S1175" s="281"/>
      <c r="T1175" s="281"/>
      <c r="U1175" s="281"/>
    </row>
    <row r="1176" spans="1:21" x14ac:dyDescent="0.3">
      <c r="A1176" s="347" t="str">
        <f t="shared" si="318"/>
        <v>Exclude</v>
      </c>
      <c r="D1176" s="427" t="s">
        <v>1336</v>
      </c>
      <c r="E1176" s="199" t="s">
        <v>943</v>
      </c>
      <c r="F1176" s="200"/>
      <c r="G1176" s="201"/>
      <c r="H1176" s="202" t="s">
        <v>0</v>
      </c>
      <c r="I1176" s="203"/>
      <c r="J1176" s="203"/>
      <c r="K1176" s="304"/>
      <c r="L1176" s="302"/>
      <c r="M1176" s="302">
        <f>IF(K1176="x","Included in Sub Bid",G1176*I1176)</f>
        <v>0</v>
      </c>
      <c r="N1176" s="16"/>
      <c r="O1176" s="104"/>
      <c r="Q1176" s="281"/>
      <c r="R1176" s="281"/>
      <c r="S1176" s="281"/>
      <c r="T1176" s="281"/>
      <c r="U1176" s="281"/>
    </row>
    <row r="1177" spans="1:21" x14ac:dyDescent="0.3">
      <c r="A1177" s="347" t="str">
        <f t="shared" si="318"/>
        <v>Exclude</v>
      </c>
      <c r="D1177" s="427" t="s">
        <v>1336</v>
      </c>
      <c r="E1177" s="199" t="s">
        <v>944</v>
      </c>
      <c r="F1177" s="200"/>
      <c r="G1177" s="201"/>
      <c r="H1177" s="202" t="s">
        <v>0</v>
      </c>
      <c r="I1177" s="203"/>
      <c r="J1177" s="203"/>
      <c r="K1177" s="304"/>
      <c r="L1177" s="302"/>
      <c r="M1177" s="302">
        <f>IF(K1177="x","Included in Sub Bid",G1177*I1177)</f>
        <v>0</v>
      </c>
      <c r="N1177" s="16"/>
      <c r="O1177" s="104"/>
      <c r="Q1177" s="281"/>
      <c r="R1177" s="281"/>
      <c r="S1177" s="281"/>
      <c r="T1177" s="281"/>
      <c r="U1177" s="281"/>
    </row>
    <row r="1178" spans="1:21" x14ac:dyDescent="0.3">
      <c r="A1178" s="347" t="str">
        <f t="shared" si="318"/>
        <v>Exclude</v>
      </c>
      <c r="D1178" s="425"/>
      <c r="E1178" s="44"/>
      <c r="F1178" s="10"/>
      <c r="G1178" s="21"/>
      <c r="H1178" s="19"/>
      <c r="I1178" s="16"/>
      <c r="J1178" s="16"/>
      <c r="K1178" s="304"/>
      <c r="L1178" s="298"/>
      <c r="M1178" s="298"/>
      <c r="N1178" s="16"/>
      <c r="O1178" s="104"/>
      <c r="Q1178" s="281"/>
      <c r="R1178" s="281"/>
      <c r="S1178" s="281"/>
      <c r="T1178" s="281"/>
      <c r="U1178" s="281"/>
    </row>
    <row r="1179" spans="1:21" x14ac:dyDescent="0.3">
      <c r="A1179" s="347" t="str">
        <f t="shared" si="318"/>
        <v>Exclude</v>
      </c>
      <c r="D1179" s="425"/>
      <c r="E1179" s="44"/>
      <c r="F1179" s="10"/>
      <c r="G1179" s="21"/>
      <c r="H1179" s="19"/>
      <c r="I1179" s="16"/>
      <c r="J1179" s="16"/>
      <c r="K1179" s="301"/>
      <c r="L1179" s="298"/>
      <c r="M1179" s="298"/>
      <c r="N1179" s="16"/>
      <c r="O1179" s="104"/>
      <c r="Q1179" s="281"/>
      <c r="R1179" s="281"/>
      <c r="S1179" s="281"/>
      <c r="T1179" s="281"/>
      <c r="U1179" s="281"/>
    </row>
    <row r="1180" spans="1:21" ht="15.5" x14ac:dyDescent="0.3">
      <c r="A1180" s="347" t="str">
        <f>IF(J1180=0,"Exclude","x")</f>
        <v>Exclude</v>
      </c>
      <c r="D1180" s="424" t="s">
        <v>803</v>
      </c>
      <c r="E1180" s="69" t="s">
        <v>735</v>
      </c>
      <c r="F1180" s="56"/>
      <c r="G1180" s="57"/>
      <c r="H1180" s="58"/>
      <c r="I1180" s="59"/>
      <c r="J1180" s="60">
        <f>SUBTOTAL(9,J1181:J1191)</f>
        <v>0</v>
      </c>
      <c r="K1180" s="59">
        <f>IFERROR(J1180/$G$6,0)</f>
        <v>0</v>
      </c>
      <c r="L1180" s="309"/>
      <c r="M1180" s="60"/>
      <c r="N1180" s="59">
        <f>SUM(M1181:M1191)</f>
        <v>0</v>
      </c>
      <c r="O1180" s="435">
        <f>IFERROR(N1180/$G$6,0)</f>
        <v>0</v>
      </c>
      <c r="Q1180" s="281"/>
      <c r="R1180" s="281"/>
      <c r="S1180" s="281"/>
      <c r="T1180" s="281"/>
      <c r="U1180" s="281"/>
    </row>
    <row r="1181" spans="1:21" x14ac:dyDescent="0.3">
      <c r="A1181" s="347" t="str">
        <f t="shared" ref="A1181:A1191" si="321">A1180</f>
        <v>Exclude</v>
      </c>
      <c r="D1181" s="426" t="s">
        <v>1337</v>
      </c>
      <c r="E1181" s="39" t="s">
        <v>1203</v>
      </c>
      <c r="F1181" s="24"/>
      <c r="G1181" s="292"/>
      <c r="H1181" s="25"/>
      <c r="I1181" s="293"/>
      <c r="J1181" s="293"/>
      <c r="K1181" s="301"/>
      <c r="L1181" s="300">
        <v>0</v>
      </c>
      <c r="M1181" s="301">
        <f>L1181</f>
        <v>0</v>
      </c>
      <c r="N1181" s="293"/>
      <c r="O1181" s="294"/>
      <c r="Q1181" s="282"/>
      <c r="R1181" s="281"/>
      <c r="S1181" s="283"/>
      <c r="T1181" s="283"/>
      <c r="U1181" s="283"/>
    </row>
    <row r="1182" spans="1:21" x14ac:dyDescent="0.3">
      <c r="A1182" s="347" t="str">
        <f t="shared" si="321"/>
        <v>Exclude</v>
      </c>
      <c r="D1182" s="425" t="s">
        <v>1337</v>
      </c>
      <c r="E1182" s="44" t="s">
        <v>142</v>
      </c>
      <c r="F1182" s="10"/>
      <c r="G1182" s="21"/>
      <c r="H1182" s="19" t="s">
        <v>0</v>
      </c>
      <c r="I1182" s="16"/>
      <c r="J1182" s="16">
        <f t="shared" ref="J1182:J1187" si="322">G1182*I1182</f>
        <v>0</v>
      </c>
      <c r="K1182" s="304"/>
      <c r="L1182" s="298"/>
      <c r="M1182" s="298">
        <f t="shared" ref="M1182:M1187" si="323">IF(K1182="x","Included in Sub Bid",J1182)</f>
        <v>0</v>
      </c>
      <c r="N1182" s="16"/>
      <c r="O1182" s="104"/>
      <c r="Q1182" s="281"/>
      <c r="R1182" s="281"/>
      <c r="S1182" s="281"/>
      <c r="T1182" s="281"/>
      <c r="U1182" s="281"/>
    </row>
    <row r="1183" spans="1:21" x14ac:dyDescent="0.3">
      <c r="A1183" s="347" t="str">
        <f t="shared" si="321"/>
        <v>Exclude</v>
      </c>
      <c r="D1183" s="425" t="s">
        <v>1337</v>
      </c>
      <c r="E1183" s="44" t="s">
        <v>468</v>
      </c>
      <c r="F1183" s="10"/>
      <c r="G1183" s="21"/>
      <c r="H1183" s="19" t="s">
        <v>2</v>
      </c>
      <c r="I1183" s="16"/>
      <c r="J1183" s="16">
        <f t="shared" si="322"/>
        <v>0</v>
      </c>
      <c r="K1183" s="304"/>
      <c r="L1183" s="298"/>
      <c r="M1183" s="298">
        <f t="shared" si="323"/>
        <v>0</v>
      </c>
      <c r="N1183" s="16"/>
      <c r="O1183" s="104"/>
      <c r="Q1183" s="281"/>
      <c r="R1183" s="281"/>
      <c r="S1183" s="281"/>
      <c r="T1183" s="281"/>
      <c r="U1183" s="281"/>
    </row>
    <row r="1184" spans="1:21" x14ac:dyDescent="0.3">
      <c r="A1184" s="347" t="str">
        <f t="shared" si="321"/>
        <v>Exclude</v>
      </c>
      <c r="D1184" s="425" t="s">
        <v>1337</v>
      </c>
      <c r="E1184" s="44" t="s">
        <v>469</v>
      </c>
      <c r="F1184" s="10"/>
      <c r="G1184" s="21"/>
      <c r="H1184" s="19" t="s">
        <v>2</v>
      </c>
      <c r="I1184" s="16"/>
      <c r="J1184" s="16">
        <f t="shared" si="322"/>
        <v>0</v>
      </c>
      <c r="K1184" s="304"/>
      <c r="L1184" s="298"/>
      <c r="M1184" s="298">
        <f t="shared" si="323"/>
        <v>0</v>
      </c>
      <c r="N1184" s="16"/>
      <c r="O1184" s="104"/>
      <c r="Q1184" s="281"/>
      <c r="R1184" s="281"/>
      <c r="S1184" s="281"/>
      <c r="T1184" s="281"/>
      <c r="U1184" s="281"/>
    </row>
    <row r="1185" spans="1:21" x14ac:dyDescent="0.3">
      <c r="A1185" s="347" t="str">
        <f t="shared" si="321"/>
        <v>Exclude</v>
      </c>
      <c r="D1185" s="425" t="s">
        <v>1337</v>
      </c>
      <c r="E1185" s="44" t="s">
        <v>466</v>
      </c>
      <c r="F1185" s="10"/>
      <c r="G1185" s="21"/>
      <c r="H1185" s="19" t="s">
        <v>2</v>
      </c>
      <c r="I1185" s="16"/>
      <c r="J1185" s="16">
        <f t="shared" si="322"/>
        <v>0</v>
      </c>
      <c r="K1185" s="304"/>
      <c r="L1185" s="298"/>
      <c r="M1185" s="298">
        <f t="shared" si="323"/>
        <v>0</v>
      </c>
      <c r="N1185" s="16"/>
      <c r="O1185" s="104"/>
      <c r="Q1185" s="281"/>
      <c r="R1185" s="281"/>
      <c r="S1185" s="281"/>
      <c r="T1185" s="281"/>
      <c r="U1185" s="281"/>
    </row>
    <row r="1186" spans="1:21" x14ac:dyDescent="0.3">
      <c r="A1186" s="347" t="str">
        <f t="shared" si="321"/>
        <v>Exclude</v>
      </c>
      <c r="D1186" s="425" t="s">
        <v>1337</v>
      </c>
      <c r="E1186" s="44" t="s">
        <v>467</v>
      </c>
      <c r="F1186" s="10"/>
      <c r="G1186" s="21"/>
      <c r="H1186" s="19" t="s">
        <v>2</v>
      </c>
      <c r="I1186" s="16"/>
      <c r="J1186" s="16">
        <f t="shared" si="322"/>
        <v>0</v>
      </c>
      <c r="K1186" s="304"/>
      <c r="L1186" s="298"/>
      <c r="M1186" s="298">
        <f t="shared" si="323"/>
        <v>0</v>
      </c>
      <c r="N1186" s="16"/>
      <c r="O1186" s="104"/>
      <c r="Q1186" s="281"/>
      <c r="R1186" s="281"/>
      <c r="S1186" s="281"/>
      <c r="T1186" s="281"/>
      <c r="U1186" s="281"/>
    </row>
    <row r="1187" spans="1:21" x14ac:dyDescent="0.3">
      <c r="A1187" s="347" t="str">
        <f t="shared" si="321"/>
        <v>Exclude</v>
      </c>
      <c r="D1187" s="425" t="s">
        <v>1337</v>
      </c>
      <c r="E1187" s="44" t="s">
        <v>141</v>
      </c>
      <c r="F1187" s="10"/>
      <c r="G1187" s="21"/>
      <c r="H1187" s="19" t="s">
        <v>2</v>
      </c>
      <c r="I1187" s="16"/>
      <c r="J1187" s="16">
        <f t="shared" si="322"/>
        <v>0</v>
      </c>
      <c r="K1187" s="304"/>
      <c r="L1187" s="298"/>
      <c r="M1187" s="298">
        <f t="shared" si="323"/>
        <v>0</v>
      </c>
      <c r="N1187" s="16"/>
      <c r="O1187" s="104"/>
      <c r="Q1187" s="281"/>
      <c r="R1187" s="281"/>
      <c r="S1187" s="281"/>
      <c r="T1187" s="281"/>
      <c r="U1187" s="281"/>
    </row>
    <row r="1188" spans="1:21" x14ac:dyDescent="0.3">
      <c r="A1188" s="347" t="str">
        <f t="shared" si="321"/>
        <v>Exclude</v>
      </c>
      <c r="D1188" s="427" t="s">
        <v>1337</v>
      </c>
      <c r="E1188" s="199" t="s">
        <v>943</v>
      </c>
      <c r="F1188" s="200"/>
      <c r="G1188" s="201"/>
      <c r="H1188" s="202" t="s">
        <v>0</v>
      </c>
      <c r="I1188" s="203"/>
      <c r="J1188" s="203"/>
      <c r="K1188" s="304"/>
      <c r="L1188" s="302"/>
      <c r="M1188" s="302">
        <f>IF(K1188="x","Included in Sub Bid",G1188*I1188)</f>
        <v>0</v>
      </c>
      <c r="N1188" s="16"/>
      <c r="O1188" s="104"/>
      <c r="Q1188" s="281"/>
      <c r="R1188" s="281"/>
      <c r="S1188" s="281"/>
      <c r="T1188" s="281"/>
      <c r="U1188" s="281"/>
    </row>
    <row r="1189" spans="1:21" x14ac:dyDescent="0.3">
      <c r="A1189" s="347" t="str">
        <f t="shared" si="321"/>
        <v>Exclude</v>
      </c>
      <c r="D1189" s="427" t="s">
        <v>1337</v>
      </c>
      <c r="E1189" s="199" t="s">
        <v>944</v>
      </c>
      <c r="F1189" s="200"/>
      <c r="G1189" s="201"/>
      <c r="H1189" s="202" t="s">
        <v>0</v>
      </c>
      <c r="I1189" s="203"/>
      <c r="J1189" s="203"/>
      <c r="K1189" s="304"/>
      <c r="L1189" s="302"/>
      <c r="M1189" s="302">
        <f>IF(K1189="x","Included in Sub Bid",G1189*I1189)</f>
        <v>0</v>
      </c>
      <c r="N1189" s="16"/>
      <c r="O1189" s="104"/>
      <c r="Q1189" s="281"/>
      <c r="R1189" s="281"/>
      <c r="S1189" s="281"/>
      <c r="T1189" s="281"/>
      <c r="U1189" s="281"/>
    </row>
    <row r="1190" spans="1:21" x14ac:dyDescent="0.3">
      <c r="A1190" s="347" t="str">
        <f t="shared" si="321"/>
        <v>Exclude</v>
      </c>
      <c r="D1190" s="425"/>
      <c r="E1190" s="44"/>
      <c r="F1190" s="10"/>
      <c r="G1190" s="21"/>
      <c r="H1190" s="19"/>
      <c r="I1190" s="16"/>
      <c r="J1190" s="16"/>
      <c r="K1190" s="304"/>
      <c r="L1190" s="298"/>
      <c r="M1190" s="298"/>
      <c r="N1190" s="16"/>
      <c r="O1190" s="104"/>
      <c r="Q1190" s="281"/>
      <c r="R1190" s="281"/>
      <c r="S1190" s="281"/>
      <c r="T1190" s="281"/>
      <c r="U1190" s="281"/>
    </row>
    <row r="1191" spans="1:21" x14ac:dyDescent="0.3">
      <c r="A1191" s="347" t="str">
        <f t="shared" si="321"/>
        <v>Exclude</v>
      </c>
      <c r="D1191" s="425"/>
      <c r="E1191" s="44"/>
      <c r="F1191" s="10"/>
      <c r="G1191" s="21"/>
      <c r="H1191" s="19"/>
      <c r="I1191" s="16"/>
      <c r="J1191" s="16"/>
      <c r="K1191" s="301"/>
      <c r="L1191" s="298"/>
      <c r="M1191" s="298"/>
      <c r="N1191" s="16"/>
      <c r="O1191" s="104"/>
      <c r="Q1191" s="281"/>
      <c r="R1191" s="281"/>
      <c r="S1191" s="281"/>
      <c r="T1191" s="281"/>
      <c r="U1191" s="281"/>
    </row>
    <row r="1192" spans="1:21" ht="15.5" x14ac:dyDescent="0.3">
      <c r="A1192" s="347" t="str">
        <f>IF(J1192=0,"Exclude","x")</f>
        <v>Exclude</v>
      </c>
      <c r="D1192" s="424" t="s">
        <v>803</v>
      </c>
      <c r="E1192" s="69" t="s">
        <v>736</v>
      </c>
      <c r="F1192" s="56"/>
      <c r="G1192" s="57"/>
      <c r="H1192" s="58"/>
      <c r="I1192" s="59"/>
      <c r="J1192" s="60">
        <f>SUBTOTAL(9,J1193:J1199)</f>
        <v>0</v>
      </c>
      <c r="K1192" s="59">
        <f>IFERROR(J1192/$G$6,0)</f>
        <v>0</v>
      </c>
      <c r="L1192" s="309"/>
      <c r="M1192" s="60"/>
      <c r="N1192" s="59">
        <f>SUM(M1193:M1199)</f>
        <v>0</v>
      </c>
      <c r="O1192" s="435">
        <f>IFERROR(N1192/$G$6,0)</f>
        <v>0</v>
      </c>
      <c r="Q1192" s="281"/>
      <c r="R1192" s="281"/>
      <c r="S1192" s="281"/>
      <c r="T1192" s="281"/>
      <c r="U1192" s="281"/>
    </row>
    <row r="1193" spans="1:21" x14ac:dyDescent="0.3">
      <c r="A1193" s="347" t="str">
        <f t="shared" ref="A1193:A1199" si="324">A1192</f>
        <v>Exclude</v>
      </c>
      <c r="D1193" s="426" t="s">
        <v>1338</v>
      </c>
      <c r="E1193" s="39" t="s">
        <v>1203</v>
      </c>
      <c r="F1193" s="24"/>
      <c r="G1193" s="292"/>
      <c r="H1193" s="25"/>
      <c r="I1193" s="293"/>
      <c r="J1193" s="293"/>
      <c r="K1193" s="301"/>
      <c r="L1193" s="300">
        <v>0</v>
      </c>
      <c r="M1193" s="301">
        <f>L1193</f>
        <v>0</v>
      </c>
      <c r="N1193" s="293"/>
      <c r="O1193" s="294"/>
      <c r="Q1193" s="282"/>
      <c r="R1193" s="281"/>
      <c r="S1193" s="283"/>
      <c r="T1193" s="283"/>
      <c r="U1193" s="283"/>
    </row>
    <row r="1194" spans="1:21" x14ac:dyDescent="0.3">
      <c r="A1194" s="347" t="str">
        <f t="shared" si="324"/>
        <v>Exclude</v>
      </c>
      <c r="D1194" s="425" t="s">
        <v>1338</v>
      </c>
      <c r="E1194" s="36" t="s">
        <v>1281</v>
      </c>
      <c r="F1194" s="10"/>
      <c r="G1194" s="21">
        <f>G6</f>
        <v>0</v>
      </c>
      <c r="H1194" s="19" t="s">
        <v>1</v>
      </c>
      <c r="I1194" s="16">
        <v>0.12</v>
      </c>
      <c r="J1194" s="16">
        <f t="shared" ref="J1194:J1203" si="325">G1194*I1194</f>
        <v>0</v>
      </c>
      <c r="K1194" s="304"/>
      <c r="L1194" s="298"/>
      <c r="M1194" s="298">
        <f t="shared" ref="M1194:M1195" si="326">IF(K1194="x","Included in Sub Bid",J1194)</f>
        <v>0</v>
      </c>
      <c r="N1194" s="16"/>
      <c r="O1194" s="104"/>
      <c r="Q1194" s="281"/>
      <c r="R1194" s="281"/>
      <c r="S1194" s="281"/>
      <c r="T1194" s="281"/>
      <c r="U1194" s="281"/>
    </row>
    <row r="1195" spans="1:21" x14ac:dyDescent="0.3">
      <c r="A1195" s="347" t="str">
        <f t="shared" si="324"/>
        <v>Exclude</v>
      </c>
      <c r="D1195" s="425" t="s">
        <v>1338</v>
      </c>
      <c r="E1195" s="36" t="s">
        <v>1282</v>
      </c>
      <c r="F1195" s="10"/>
      <c r="G1195" s="21"/>
      <c r="H1195" s="12" t="s">
        <v>0</v>
      </c>
      <c r="I1195" s="16">
        <v>2.5</v>
      </c>
      <c r="J1195" s="16">
        <f t="shared" si="325"/>
        <v>0</v>
      </c>
      <c r="K1195" s="304"/>
      <c r="L1195" s="298"/>
      <c r="M1195" s="298">
        <f t="shared" si="326"/>
        <v>0</v>
      </c>
      <c r="N1195" s="16"/>
      <c r="O1195" s="104"/>
      <c r="Q1195" s="281"/>
      <c r="R1195" s="281"/>
      <c r="S1195" s="281"/>
      <c r="T1195" s="281"/>
      <c r="U1195" s="281"/>
    </row>
    <row r="1196" spans="1:21" x14ac:dyDescent="0.3">
      <c r="A1196" s="347" t="str">
        <f t="shared" si="324"/>
        <v>Exclude</v>
      </c>
      <c r="D1196" s="427" t="s">
        <v>1338</v>
      </c>
      <c r="E1196" s="199" t="s">
        <v>943</v>
      </c>
      <c r="F1196" s="200"/>
      <c r="G1196" s="201"/>
      <c r="H1196" s="202" t="s">
        <v>0</v>
      </c>
      <c r="I1196" s="203"/>
      <c r="J1196" s="203"/>
      <c r="K1196" s="304"/>
      <c r="L1196" s="302"/>
      <c r="M1196" s="302">
        <f>IF(K1196="x","Included in Sub Bid",G1196*I1196)</f>
        <v>0</v>
      </c>
      <c r="N1196" s="16"/>
      <c r="O1196" s="104"/>
      <c r="Q1196" s="281"/>
      <c r="R1196" s="281"/>
      <c r="S1196" s="281"/>
      <c r="T1196" s="281"/>
      <c r="U1196" s="281"/>
    </row>
    <row r="1197" spans="1:21" x14ac:dyDescent="0.3">
      <c r="A1197" s="347" t="str">
        <f t="shared" si="324"/>
        <v>Exclude</v>
      </c>
      <c r="D1197" s="427" t="s">
        <v>1338</v>
      </c>
      <c r="E1197" s="199" t="s">
        <v>944</v>
      </c>
      <c r="F1197" s="200"/>
      <c r="G1197" s="201"/>
      <c r="H1197" s="202" t="s">
        <v>0</v>
      </c>
      <c r="I1197" s="203"/>
      <c r="J1197" s="203"/>
      <c r="K1197" s="304"/>
      <c r="L1197" s="302"/>
      <c r="M1197" s="302">
        <f>IF(K1197="x","Included in Sub Bid",G1197*I1197)</f>
        <v>0</v>
      </c>
      <c r="N1197" s="16"/>
      <c r="O1197" s="104"/>
      <c r="Q1197" s="281"/>
      <c r="R1197" s="281"/>
      <c r="S1197" s="281"/>
      <c r="T1197" s="281"/>
      <c r="U1197" s="281"/>
    </row>
    <row r="1198" spans="1:21" x14ac:dyDescent="0.3">
      <c r="A1198" s="347" t="str">
        <f t="shared" si="324"/>
        <v>Exclude</v>
      </c>
      <c r="D1198" s="425"/>
      <c r="E1198" s="44"/>
      <c r="F1198" s="10"/>
      <c r="G1198" s="21"/>
      <c r="H1198" s="19"/>
      <c r="I1198" s="16"/>
      <c r="J1198" s="16"/>
      <c r="K1198" s="304"/>
      <c r="L1198" s="298"/>
      <c r="M1198" s="298"/>
      <c r="N1198" s="16"/>
      <c r="O1198" s="104"/>
      <c r="Q1198" s="281"/>
      <c r="R1198" s="281"/>
      <c r="S1198" s="281"/>
      <c r="T1198" s="281"/>
      <c r="U1198" s="281"/>
    </row>
    <row r="1199" spans="1:21" x14ac:dyDescent="0.3">
      <c r="A1199" s="347" t="str">
        <f t="shared" si="324"/>
        <v>Exclude</v>
      </c>
      <c r="D1199" s="425"/>
      <c r="E1199" s="11"/>
      <c r="F1199" s="10"/>
      <c r="G1199" s="21"/>
      <c r="H1199" s="12"/>
      <c r="I1199" s="16"/>
      <c r="J1199" s="16"/>
      <c r="K1199" s="301"/>
      <c r="L1199" s="298"/>
      <c r="M1199" s="298"/>
      <c r="N1199" s="16"/>
      <c r="O1199" s="104"/>
      <c r="Q1199" s="281"/>
      <c r="R1199" s="281"/>
      <c r="S1199" s="281"/>
      <c r="T1199" s="281"/>
      <c r="U1199" s="281"/>
    </row>
    <row r="1200" spans="1:21" ht="15.5" x14ac:dyDescent="0.3">
      <c r="A1200" s="347" t="str">
        <f>IF(J1200=0,"Exclude","x")</f>
        <v>x</v>
      </c>
      <c r="D1200" s="424" t="s">
        <v>802</v>
      </c>
      <c r="E1200" s="69" t="s">
        <v>651</v>
      </c>
      <c r="F1200" s="56"/>
      <c r="G1200" s="57"/>
      <c r="H1200" s="58"/>
      <c r="I1200" s="59"/>
      <c r="J1200" s="60">
        <f>SUBTOTAL(9,J1201:J1208)</f>
        <v>33.99</v>
      </c>
      <c r="K1200" s="59">
        <f>IFERROR(J1200/$G$6,0)</f>
        <v>0</v>
      </c>
      <c r="L1200" s="309"/>
      <c r="M1200" s="60"/>
      <c r="N1200" s="59">
        <f>SUM(M1201:M1208)</f>
        <v>33.99</v>
      </c>
      <c r="O1200" s="435">
        <f>IFERROR(N1200/$G$6,0)</f>
        <v>0</v>
      </c>
      <c r="Q1200" s="281"/>
      <c r="R1200" s="281"/>
      <c r="S1200" s="281"/>
      <c r="T1200" s="281"/>
      <c r="U1200" s="281"/>
    </row>
    <row r="1201" spans="1:21" x14ac:dyDescent="0.3">
      <c r="A1201" s="347" t="str">
        <f t="shared" ref="A1201:A1208" si="327">A1200</f>
        <v>x</v>
      </c>
      <c r="D1201" s="426" t="s">
        <v>1333</v>
      </c>
      <c r="E1201" s="39" t="s">
        <v>1203</v>
      </c>
      <c r="F1201" s="24"/>
      <c r="G1201" s="292"/>
      <c r="H1201" s="25"/>
      <c r="I1201" s="293"/>
      <c r="J1201" s="293"/>
      <c r="K1201" s="301"/>
      <c r="L1201" s="300">
        <v>0</v>
      </c>
      <c r="M1201" s="301">
        <f>L1201</f>
        <v>0</v>
      </c>
      <c r="N1201" s="293"/>
      <c r="O1201" s="294"/>
      <c r="Q1201" s="282"/>
      <c r="R1201" s="281"/>
      <c r="S1201" s="283"/>
      <c r="T1201" s="283"/>
      <c r="U1201" s="283"/>
    </row>
    <row r="1202" spans="1:21" x14ac:dyDescent="0.3">
      <c r="A1202" s="347" t="str">
        <f t="shared" si="327"/>
        <v>x</v>
      </c>
      <c r="D1202" s="425" t="s">
        <v>1333</v>
      </c>
      <c r="E1202" s="44" t="s">
        <v>144</v>
      </c>
      <c r="F1202" s="10"/>
      <c r="G1202" s="21"/>
      <c r="H1202" s="12" t="s">
        <v>0</v>
      </c>
      <c r="I1202" s="16">
        <v>10000</v>
      </c>
      <c r="J1202" s="16">
        <f t="shared" si="325"/>
        <v>0</v>
      </c>
      <c r="K1202" s="304"/>
      <c r="L1202" s="298"/>
      <c r="M1202" s="298">
        <f t="shared" ref="M1202:M1204" si="328">IF(K1202="x","Included in Sub Bid",J1202)</f>
        <v>0</v>
      </c>
      <c r="N1202" s="16"/>
      <c r="O1202" s="104"/>
      <c r="Q1202" s="281"/>
      <c r="R1202" s="281"/>
      <c r="S1202" s="281"/>
      <c r="T1202" s="281"/>
      <c r="U1202" s="281"/>
    </row>
    <row r="1203" spans="1:21" x14ac:dyDescent="0.3">
      <c r="A1203" s="347" t="str">
        <f t="shared" si="327"/>
        <v>x</v>
      </c>
      <c r="D1203" s="425" t="s">
        <v>1333</v>
      </c>
      <c r="E1203" s="36" t="s">
        <v>145</v>
      </c>
      <c r="F1203" s="10"/>
      <c r="G1203" s="21"/>
      <c r="H1203" s="12" t="s">
        <v>0</v>
      </c>
      <c r="I1203" s="16"/>
      <c r="J1203" s="16">
        <f t="shared" si="325"/>
        <v>0</v>
      </c>
      <c r="K1203" s="304"/>
      <c r="L1203" s="298"/>
      <c r="M1203" s="298">
        <f t="shared" si="328"/>
        <v>0</v>
      </c>
      <c r="N1203" s="16"/>
      <c r="O1203" s="104"/>
      <c r="Q1203" s="281"/>
      <c r="R1203" s="281"/>
      <c r="S1203" s="281"/>
      <c r="T1203" s="281"/>
      <c r="U1203" s="281"/>
    </row>
    <row r="1204" spans="1:21" x14ac:dyDescent="0.3">
      <c r="A1204" s="347" t="str">
        <f t="shared" si="327"/>
        <v>x</v>
      </c>
      <c r="D1204" s="425" t="s">
        <v>1333</v>
      </c>
      <c r="E1204" s="36" t="s">
        <v>23</v>
      </c>
      <c r="F1204" s="10"/>
      <c r="G1204" s="26">
        <v>0.03</v>
      </c>
      <c r="H1204" s="12" t="s">
        <v>0</v>
      </c>
      <c r="I1204" s="16">
        <f>(SUBTOTAL(9,J1044:J1198)+SUBTOTAL(9,J1201:J1203))*1.03</f>
        <v>1133</v>
      </c>
      <c r="J1204" s="16">
        <f t="shared" ref="J1204" si="329">G1204*I1204</f>
        <v>33.99</v>
      </c>
      <c r="K1204" s="304"/>
      <c r="L1204" s="298"/>
      <c r="M1204" s="298">
        <f t="shared" si="328"/>
        <v>33.99</v>
      </c>
      <c r="N1204" s="16"/>
      <c r="O1204" s="104"/>
      <c r="Q1204" s="281"/>
      <c r="R1204" s="281"/>
      <c r="S1204" s="281"/>
      <c r="T1204" s="281"/>
      <c r="U1204" s="281"/>
    </row>
    <row r="1205" spans="1:21" x14ac:dyDescent="0.3">
      <c r="A1205" s="347" t="str">
        <f t="shared" si="327"/>
        <v>x</v>
      </c>
      <c r="D1205" s="427" t="s">
        <v>1333</v>
      </c>
      <c r="E1205" s="199" t="s">
        <v>943</v>
      </c>
      <c r="F1205" s="200"/>
      <c r="G1205" s="201"/>
      <c r="H1205" s="202" t="s">
        <v>0</v>
      </c>
      <c r="I1205" s="203"/>
      <c r="J1205" s="203"/>
      <c r="K1205" s="304"/>
      <c r="L1205" s="302"/>
      <c r="M1205" s="302">
        <f>IF(K1205="x","Included in Sub Bid",G1205*I1205)</f>
        <v>0</v>
      </c>
      <c r="N1205" s="16"/>
      <c r="O1205" s="104"/>
      <c r="Q1205" s="281"/>
      <c r="R1205" s="281"/>
      <c r="S1205" s="281"/>
      <c r="T1205" s="281"/>
      <c r="U1205" s="281"/>
    </row>
    <row r="1206" spans="1:21" x14ac:dyDescent="0.3">
      <c r="A1206" s="347" t="str">
        <f t="shared" si="327"/>
        <v>x</v>
      </c>
      <c r="D1206" s="427" t="s">
        <v>1333</v>
      </c>
      <c r="E1206" s="199" t="s">
        <v>944</v>
      </c>
      <c r="F1206" s="200"/>
      <c r="G1206" s="201"/>
      <c r="H1206" s="202" t="s">
        <v>0</v>
      </c>
      <c r="I1206" s="203"/>
      <c r="J1206" s="203"/>
      <c r="K1206" s="304"/>
      <c r="L1206" s="302"/>
      <c r="M1206" s="302">
        <f>IF(K1206="x","Included in Sub Bid",G1206*I1206)</f>
        <v>0</v>
      </c>
      <c r="N1206" s="16"/>
      <c r="O1206" s="104"/>
      <c r="Q1206" s="281"/>
      <c r="R1206" s="281"/>
      <c r="S1206" s="281"/>
      <c r="T1206" s="281"/>
      <c r="U1206" s="281"/>
    </row>
    <row r="1207" spans="1:21" x14ac:dyDescent="0.3">
      <c r="A1207" s="347" t="str">
        <f t="shared" si="327"/>
        <v>x</v>
      </c>
      <c r="D1207" s="425"/>
      <c r="E1207" s="36"/>
      <c r="F1207" s="10"/>
      <c r="G1207" s="26"/>
      <c r="H1207" s="12"/>
      <c r="I1207" s="16"/>
      <c r="J1207" s="16"/>
      <c r="K1207" s="304"/>
      <c r="L1207" s="298"/>
      <c r="M1207" s="298"/>
      <c r="N1207" s="16"/>
      <c r="O1207" s="104"/>
      <c r="Q1207" s="281"/>
      <c r="R1207" s="281"/>
      <c r="S1207" s="281"/>
      <c r="T1207" s="281"/>
      <c r="U1207" s="281"/>
    </row>
    <row r="1208" spans="1:21" ht="13.5" thickBot="1" x14ac:dyDescent="0.35">
      <c r="A1208" s="347" t="str">
        <f t="shared" si="327"/>
        <v>x</v>
      </c>
      <c r="D1208" s="425"/>
      <c r="E1208" s="36"/>
      <c r="F1208" s="10"/>
      <c r="G1208" s="26"/>
      <c r="H1208" s="12"/>
      <c r="I1208" s="16"/>
      <c r="J1208" s="16"/>
      <c r="K1208" s="304"/>
      <c r="L1208" s="298"/>
      <c r="M1208" s="298"/>
      <c r="N1208" s="16"/>
      <c r="O1208" s="104"/>
      <c r="Q1208" s="281"/>
      <c r="R1208" s="281"/>
      <c r="S1208" s="281"/>
      <c r="T1208" s="281"/>
      <c r="U1208" s="281"/>
    </row>
    <row r="1209" spans="1:21" ht="18.5" x14ac:dyDescent="0.45">
      <c r="A1209" s="5" t="s">
        <v>1212</v>
      </c>
      <c r="D1209" s="423"/>
      <c r="E1209" s="120" t="s">
        <v>796</v>
      </c>
      <c r="F1209" s="99"/>
      <c r="G1209" s="100"/>
      <c r="H1209" s="101"/>
      <c r="I1209" s="102"/>
      <c r="J1209" s="103"/>
      <c r="K1209" s="103"/>
      <c r="L1209" s="103"/>
      <c r="M1209" s="103"/>
      <c r="N1209" s="182">
        <f>SUM(N1210:N1252)/2</f>
        <v>384.08220790874998</v>
      </c>
      <c r="O1209" s="434">
        <f>IFERROR(N1209/$G$6,0)</f>
        <v>0</v>
      </c>
      <c r="Q1209" s="282" t="str">
        <f>IF(SUM(J1210:J1251)=SUM(N1210:N1251)/2,"SUBTOTALS MATCH LINE ITEM TOTALS","ERROR- CHECK SUMS")</f>
        <v>SUBTOTALS MATCH LINE ITEM TOTALS</v>
      </c>
      <c r="R1209" s="281"/>
      <c r="S1209" s="295">
        <f>SUM(M1210:M1251)</f>
        <v>384.08220790874998</v>
      </c>
      <c r="T1209" s="283">
        <f>SUM(N1210:N1251)/2</f>
        <v>384.08220790874998</v>
      </c>
      <c r="U1209" s="283">
        <f>S1209-T1209</f>
        <v>0</v>
      </c>
    </row>
    <row r="1210" spans="1:21" ht="15.5" x14ac:dyDescent="0.35">
      <c r="A1210" s="5" t="s">
        <v>1212</v>
      </c>
      <c r="D1210" s="431"/>
      <c r="E1210" s="68" t="s">
        <v>655</v>
      </c>
      <c r="F1210" s="63"/>
      <c r="G1210" s="64"/>
      <c r="H1210" s="65"/>
      <c r="I1210" s="66"/>
      <c r="J1210" s="66"/>
      <c r="K1210" s="305"/>
      <c r="L1210" s="66"/>
      <c r="M1210" s="66"/>
      <c r="N1210" s="66">
        <f>N1211+N1215</f>
        <v>30.91995</v>
      </c>
      <c r="O1210" s="317">
        <f>IFERROR(N1210/$G$6,0)</f>
        <v>0</v>
      </c>
      <c r="Q1210" s="282" t="str">
        <f>IF(SUM(J1210:J1252)=N1209,"DIVISION TOTAL MATCHES LINE ITEM TOTALS","ERROR- CHECK SUMS")</f>
        <v>DIVISION TOTAL MATCHES LINE ITEM TOTALS</v>
      </c>
      <c r="R1210" s="281"/>
      <c r="S1210" s="295">
        <f>SUM(M1210:M1252)</f>
        <v>384.08220790874998</v>
      </c>
      <c r="T1210" s="283">
        <f>N1209</f>
        <v>384.08220790874998</v>
      </c>
      <c r="U1210" s="283">
        <f>S1210-T1210</f>
        <v>0</v>
      </c>
    </row>
    <row r="1211" spans="1:21" ht="15.5" x14ac:dyDescent="0.3">
      <c r="A1211" s="5" t="s">
        <v>1212</v>
      </c>
      <c r="D1211" s="424" t="s">
        <v>801</v>
      </c>
      <c r="E1211" s="69" t="s">
        <v>657</v>
      </c>
      <c r="F1211" s="56"/>
      <c r="G1211" s="57"/>
      <c r="H1211" s="58"/>
      <c r="I1211" s="59"/>
      <c r="J1211" s="60"/>
      <c r="K1211" s="303"/>
      <c r="L1211" s="60"/>
      <c r="M1211" s="60"/>
      <c r="N1211" s="59">
        <f>SUM(M1212:M1214)</f>
        <v>0</v>
      </c>
      <c r="O1211" s="435">
        <f>IFERROR(N1211/$G$6,0)</f>
        <v>0</v>
      </c>
      <c r="Q1211" s="282" t="str">
        <f>IF(N1209=SUM(N1210:N1252)/2,"DIVISION TOTAL MATCHES SUBTOTALS","ERROR- SUBTOTALS")</f>
        <v>DIVISION TOTAL MATCHES SUBTOTALS</v>
      </c>
      <c r="R1211" s="281"/>
      <c r="S1211" s="283">
        <f>N1209</f>
        <v>384.08220790874998</v>
      </c>
      <c r="T1211" s="283">
        <f>SUM(N1210:N1252)/2</f>
        <v>384.08220790874998</v>
      </c>
      <c r="U1211" s="283">
        <f>S1211-T1211</f>
        <v>0</v>
      </c>
    </row>
    <row r="1212" spans="1:21" x14ac:dyDescent="0.3">
      <c r="A1212" s="5" t="s">
        <v>1212</v>
      </c>
      <c r="D1212" s="425" t="s">
        <v>1339</v>
      </c>
      <c r="E1212" s="36" t="s">
        <v>491</v>
      </c>
      <c r="F1212" s="10"/>
      <c r="G1212" s="70">
        <f>IF('Project Info Input'!C43=0,0,1)</f>
        <v>0</v>
      </c>
      <c r="H1212" s="12" t="s">
        <v>0</v>
      </c>
      <c r="I1212" s="16">
        <f>IF(('Budget Summary'!E65*1.08)&lt;3000000,2000,IF(('Budget Summary'!E65*1.08)&lt;5000000,3000,IF(('Budget Summary'!E65*1.08)&lt;10000000,4000,IF(('Budget Summary'!E65*1.08)&lt;20000000,6000,IF(('Budget Summary'!E65*1.08)&lt;50000000,10000,IF(('Budget Summary'!E65*1.08)&lt;100000000,15000,25000))))))</f>
        <v>2000</v>
      </c>
      <c r="J1212" s="16">
        <f t="shared" ref="J1212" si="330">G1212*I1212</f>
        <v>0</v>
      </c>
      <c r="K1212" s="304"/>
      <c r="L1212" s="298"/>
      <c r="M1212" s="298">
        <f t="shared" ref="M1212" si="331">IF(K1212="x","Included in Sub Bid",J1212)</f>
        <v>0</v>
      </c>
      <c r="N1212" s="16"/>
      <c r="O1212" s="114"/>
      <c r="Q1212" s="281"/>
      <c r="R1212" s="281"/>
      <c r="S1212" s="281"/>
      <c r="T1212" s="281"/>
      <c r="U1212" s="281"/>
    </row>
    <row r="1213" spans="1:21" x14ac:dyDescent="0.3">
      <c r="A1213" s="5" t="s">
        <v>1212</v>
      </c>
      <c r="D1213" s="425"/>
      <c r="E1213" s="36"/>
      <c r="F1213" s="10"/>
      <c r="G1213" s="23"/>
      <c r="H1213" s="12"/>
      <c r="I1213" s="16"/>
      <c r="J1213" s="16"/>
      <c r="K1213" s="304"/>
      <c r="L1213" s="298"/>
      <c r="M1213" s="298"/>
      <c r="N1213" s="16"/>
      <c r="O1213" s="114"/>
      <c r="Q1213" s="281"/>
      <c r="R1213" s="281"/>
      <c r="S1213" s="281"/>
      <c r="T1213" s="281"/>
      <c r="U1213" s="281"/>
    </row>
    <row r="1214" spans="1:21" x14ac:dyDescent="0.3">
      <c r="A1214" s="5" t="s">
        <v>1212</v>
      </c>
      <c r="D1214" s="425"/>
      <c r="E1214" s="36"/>
      <c r="F1214" s="10"/>
      <c r="G1214" s="23"/>
      <c r="H1214" s="12"/>
      <c r="I1214" s="16"/>
      <c r="J1214" s="16"/>
      <c r="K1214" s="304"/>
      <c r="L1214" s="298"/>
      <c r="M1214" s="298"/>
      <c r="N1214" s="16"/>
      <c r="O1214" s="114"/>
      <c r="Q1214" s="281"/>
      <c r="R1214" s="281"/>
      <c r="S1214" s="281"/>
      <c r="T1214" s="281"/>
      <c r="U1214" s="281"/>
    </row>
    <row r="1215" spans="1:21" ht="15.5" x14ac:dyDescent="0.3">
      <c r="A1215" s="5" t="s">
        <v>1212</v>
      </c>
      <c r="D1215" s="424" t="s">
        <v>801</v>
      </c>
      <c r="E1215" s="69" t="s">
        <v>656</v>
      </c>
      <c r="F1215" s="56"/>
      <c r="G1215" s="57"/>
      <c r="H1215" s="58"/>
      <c r="I1215" s="59"/>
      <c r="J1215" s="60"/>
      <c r="K1215" s="303"/>
      <c r="L1215" s="60"/>
      <c r="M1215" s="60"/>
      <c r="N1215" s="59">
        <f>SUM(M1216:M1218)</f>
        <v>30.91995</v>
      </c>
      <c r="O1215" s="435">
        <f>IFERROR(N1215/$G$6,0)</f>
        <v>0</v>
      </c>
      <c r="Q1215" s="281"/>
      <c r="R1215" s="281"/>
      <c r="S1215" s="281"/>
      <c r="T1215" s="281"/>
      <c r="U1215" s="281"/>
    </row>
    <row r="1216" spans="1:21" x14ac:dyDescent="0.3">
      <c r="A1216" s="5" t="s">
        <v>1212</v>
      </c>
      <c r="D1216" s="425" t="s">
        <v>1339</v>
      </c>
      <c r="E1216" s="36" t="s">
        <v>492</v>
      </c>
      <c r="F1216" s="10"/>
      <c r="G1216" s="26">
        <v>0.01</v>
      </c>
      <c r="H1216" s="12"/>
      <c r="I1216" s="16">
        <f>(N22+N328)*0.5</f>
        <v>3091.9949999999999</v>
      </c>
      <c r="J1216" s="16">
        <f t="shared" ref="J1216" si="332">G1216*I1216</f>
        <v>30.91995</v>
      </c>
      <c r="K1216" s="304"/>
      <c r="L1216" s="298"/>
      <c r="M1216" s="298">
        <f t="shared" ref="M1216" si="333">IF(K1216="x","Included in Sub Bid",J1216)</f>
        <v>30.91995</v>
      </c>
      <c r="N1216" s="16"/>
      <c r="O1216" s="114"/>
      <c r="Q1216" s="281"/>
      <c r="R1216" s="281"/>
      <c r="S1216" s="281"/>
      <c r="T1216" s="281"/>
      <c r="U1216" s="281"/>
    </row>
    <row r="1217" spans="1:21" x14ac:dyDescent="0.3">
      <c r="A1217" s="5" t="s">
        <v>1212</v>
      </c>
      <c r="D1217" s="425"/>
      <c r="E1217" s="36"/>
      <c r="F1217" s="10"/>
      <c r="G1217" s="23"/>
      <c r="H1217" s="12"/>
      <c r="I1217" s="16"/>
      <c r="J1217" s="16"/>
      <c r="K1217" s="304"/>
      <c r="L1217" s="298"/>
      <c r="M1217" s="298"/>
      <c r="N1217" s="16"/>
      <c r="O1217" s="114"/>
      <c r="Q1217" s="281"/>
      <c r="R1217" s="281"/>
      <c r="S1217" s="281"/>
      <c r="T1217" s="281"/>
      <c r="U1217" s="281"/>
    </row>
    <row r="1218" spans="1:21" x14ac:dyDescent="0.3">
      <c r="A1218" s="5" t="s">
        <v>1212</v>
      </c>
      <c r="D1218" s="425"/>
      <c r="E1218" s="36"/>
      <c r="F1218" s="10"/>
      <c r="G1218" s="23"/>
      <c r="H1218" s="12"/>
      <c r="I1218" s="16"/>
      <c r="J1218" s="16"/>
      <c r="K1218" s="304"/>
      <c r="L1218" s="298"/>
      <c r="M1218" s="298"/>
      <c r="N1218" s="16"/>
      <c r="O1218" s="114"/>
      <c r="Q1218" s="281"/>
      <c r="R1218" s="281"/>
      <c r="S1218" s="281"/>
      <c r="T1218" s="281"/>
      <c r="U1218" s="281"/>
    </row>
    <row r="1219" spans="1:21" ht="15.5" x14ac:dyDescent="0.35">
      <c r="A1219" s="5" t="s">
        <v>1212</v>
      </c>
      <c r="D1219" s="431"/>
      <c r="E1219" s="68" t="s">
        <v>663</v>
      </c>
      <c r="F1219" s="63"/>
      <c r="G1219" s="64"/>
      <c r="H1219" s="65"/>
      <c r="I1219" s="66"/>
      <c r="J1219" s="66"/>
      <c r="K1219" s="305"/>
      <c r="L1219" s="66"/>
      <c r="M1219" s="66"/>
      <c r="N1219" s="66">
        <f>N1220+N1232</f>
        <v>0</v>
      </c>
      <c r="O1219" s="317">
        <f>IFERROR(N1219/$G$6,0)</f>
        <v>0</v>
      </c>
      <c r="Q1219" s="281"/>
      <c r="R1219" s="281"/>
      <c r="S1219" s="281"/>
      <c r="T1219" s="281"/>
      <c r="U1219" s="281"/>
    </row>
    <row r="1220" spans="1:21" ht="15.5" x14ac:dyDescent="0.3">
      <c r="A1220" s="5" t="s">
        <v>1212</v>
      </c>
      <c r="D1220" s="424" t="s">
        <v>801</v>
      </c>
      <c r="E1220" s="69" t="s">
        <v>664</v>
      </c>
      <c r="F1220" s="56"/>
      <c r="G1220" s="57"/>
      <c r="H1220" s="58"/>
      <c r="I1220" s="59"/>
      <c r="J1220" s="60"/>
      <c r="K1220" s="303"/>
      <c r="L1220" s="60"/>
      <c r="M1220" s="60"/>
      <c r="N1220" s="59">
        <f>SUM(M1221:M1231)</f>
        <v>0</v>
      </c>
      <c r="O1220" s="435">
        <f>IFERROR(N1220/$G$6,0)</f>
        <v>0</v>
      </c>
      <c r="Q1220" s="281"/>
      <c r="R1220" s="281"/>
      <c r="S1220" s="281"/>
      <c r="T1220" s="281"/>
      <c r="U1220" s="281"/>
    </row>
    <row r="1221" spans="1:21" x14ac:dyDescent="0.3">
      <c r="A1221" s="5" t="s">
        <v>1212</v>
      </c>
      <c r="D1221" s="425" t="s">
        <v>1339</v>
      </c>
      <c r="E1221" s="36" t="s">
        <v>7</v>
      </c>
      <c r="F1221" s="10"/>
      <c r="G1221" s="21">
        <f>'Project Info Input'!C28</f>
        <v>0</v>
      </c>
      <c r="H1221" s="12" t="s">
        <v>37</v>
      </c>
      <c r="I1221" s="16"/>
      <c r="J1221" s="49">
        <f t="shared" ref="J1221:J1223" si="334">+I1221*G1221</f>
        <v>0</v>
      </c>
      <c r="K1221" s="304"/>
      <c r="L1221" s="298"/>
      <c r="M1221" s="298">
        <f t="shared" ref="M1221:M1229" si="335">IF(K1221="x","Included in Sub Bid",J1221)</f>
        <v>0</v>
      </c>
      <c r="N1221" s="49"/>
      <c r="O1221" s="104"/>
      <c r="Q1221" s="281"/>
      <c r="R1221" s="281"/>
      <c r="S1221" s="281"/>
      <c r="T1221" s="281"/>
      <c r="U1221" s="281"/>
    </row>
    <row r="1222" spans="1:21" x14ac:dyDescent="0.3">
      <c r="A1222" s="5" t="s">
        <v>1212</v>
      </c>
      <c r="D1222" s="425" t="s">
        <v>1339</v>
      </c>
      <c r="E1222" s="36" t="s">
        <v>358</v>
      </c>
      <c r="F1222" s="10"/>
      <c r="G1222" s="21">
        <f>G6</f>
        <v>0</v>
      </c>
      <c r="H1222" s="12" t="s">
        <v>1</v>
      </c>
      <c r="I1222" s="16">
        <v>0.2</v>
      </c>
      <c r="J1222" s="49">
        <f t="shared" si="334"/>
        <v>0</v>
      </c>
      <c r="K1222" s="304"/>
      <c r="L1222" s="298"/>
      <c r="M1222" s="298">
        <f t="shared" si="335"/>
        <v>0</v>
      </c>
      <c r="N1222" s="49"/>
      <c r="O1222" s="104"/>
      <c r="Q1222" s="281"/>
      <c r="R1222" s="281"/>
      <c r="S1222" s="281"/>
      <c r="T1222" s="281"/>
      <c r="U1222" s="281"/>
    </row>
    <row r="1223" spans="1:21" x14ac:dyDescent="0.3">
      <c r="A1223" s="5" t="s">
        <v>1212</v>
      </c>
      <c r="D1223" s="425" t="s">
        <v>1339</v>
      </c>
      <c r="E1223" s="36" t="s">
        <v>357</v>
      </c>
      <c r="F1223" s="10"/>
      <c r="G1223" s="21">
        <f>G6</f>
        <v>0</v>
      </c>
      <c r="H1223" s="12" t="s">
        <v>1</v>
      </c>
      <c r="I1223" s="16">
        <v>0.15</v>
      </c>
      <c r="J1223" s="49">
        <f t="shared" si="334"/>
        <v>0</v>
      </c>
      <c r="K1223" s="304"/>
      <c r="L1223" s="298"/>
      <c r="M1223" s="298">
        <f t="shared" si="335"/>
        <v>0</v>
      </c>
      <c r="N1223" s="49"/>
      <c r="O1223" s="104"/>
      <c r="Q1223" s="281"/>
      <c r="R1223" s="281"/>
      <c r="S1223" s="281"/>
      <c r="T1223" s="281"/>
      <c r="U1223" s="281"/>
    </row>
    <row r="1224" spans="1:21" x14ac:dyDescent="0.3">
      <c r="A1224" s="5" t="s">
        <v>1212</v>
      </c>
      <c r="D1224" s="425" t="s">
        <v>1339</v>
      </c>
      <c r="E1224" s="36" t="s">
        <v>945</v>
      </c>
      <c r="F1224" s="10"/>
      <c r="G1224" s="21"/>
      <c r="H1224" s="12" t="s">
        <v>1</v>
      </c>
      <c r="I1224" s="13"/>
      <c r="J1224" s="49" t="s">
        <v>489</v>
      </c>
      <c r="K1224" s="304"/>
      <c r="L1224" s="298"/>
      <c r="M1224" s="298" t="str">
        <f t="shared" si="335"/>
        <v>Design/Build</v>
      </c>
      <c r="N1224" s="49"/>
      <c r="O1224" s="104"/>
      <c r="Q1224" s="281"/>
      <c r="R1224" s="281"/>
      <c r="S1224" s="281"/>
      <c r="T1224" s="281"/>
      <c r="U1224" s="281"/>
    </row>
    <row r="1225" spans="1:21" x14ac:dyDescent="0.3">
      <c r="A1225" s="5" t="s">
        <v>1212</v>
      </c>
      <c r="D1225" s="425" t="s">
        <v>1339</v>
      </c>
      <c r="E1225" s="36" t="s">
        <v>533</v>
      </c>
      <c r="F1225" s="10"/>
      <c r="G1225" s="34">
        <v>0.05</v>
      </c>
      <c r="H1225" s="12" t="s">
        <v>0</v>
      </c>
      <c r="I1225" s="13">
        <f>SUM(J1221:J1224)</f>
        <v>0</v>
      </c>
      <c r="J1225" s="49">
        <f t="shared" ref="J1225" si="336">+I1225*G1225</f>
        <v>0</v>
      </c>
      <c r="K1225" s="304"/>
      <c r="L1225" s="298"/>
      <c r="M1225" s="298">
        <f t="shared" si="335"/>
        <v>0</v>
      </c>
      <c r="N1225" s="49"/>
      <c r="O1225" s="104"/>
      <c r="Q1225" s="281"/>
      <c r="R1225" s="281"/>
      <c r="S1225" s="281"/>
      <c r="T1225" s="281"/>
      <c r="U1225" s="281"/>
    </row>
    <row r="1226" spans="1:21" x14ac:dyDescent="0.3">
      <c r="A1226" s="5" t="s">
        <v>1212</v>
      </c>
      <c r="D1226" s="425" t="s">
        <v>1339</v>
      </c>
      <c r="E1226" s="36" t="s">
        <v>17</v>
      </c>
      <c r="F1226" s="10"/>
      <c r="G1226" s="21">
        <f>G6</f>
        <v>0</v>
      </c>
      <c r="H1226" s="12" t="s">
        <v>1</v>
      </c>
      <c r="I1226" s="13"/>
      <c r="J1226" s="49" t="s">
        <v>490</v>
      </c>
      <c r="K1226" s="304"/>
      <c r="L1226" s="298"/>
      <c r="M1226" s="298" t="str">
        <f t="shared" si="335"/>
        <v>By Owner</v>
      </c>
      <c r="N1226" s="49"/>
      <c r="O1226" s="104"/>
      <c r="Q1226" s="281"/>
      <c r="R1226" s="281"/>
      <c r="S1226" s="281"/>
      <c r="T1226" s="281"/>
      <c r="U1226" s="281"/>
    </row>
    <row r="1227" spans="1:21" x14ac:dyDescent="0.3">
      <c r="A1227" s="5" t="s">
        <v>1212</v>
      </c>
      <c r="D1227" s="425" t="s">
        <v>1339</v>
      </c>
      <c r="E1227" s="36" t="s">
        <v>35</v>
      </c>
      <c r="F1227" s="10"/>
      <c r="G1227" s="21"/>
      <c r="H1227" s="12" t="s">
        <v>0</v>
      </c>
      <c r="I1227" s="13"/>
      <c r="J1227" s="49" t="s">
        <v>490</v>
      </c>
      <c r="K1227" s="304"/>
      <c r="L1227" s="298"/>
      <c r="M1227" s="298" t="str">
        <f t="shared" si="335"/>
        <v>By Owner</v>
      </c>
      <c r="N1227" s="49"/>
      <c r="O1227" s="104"/>
      <c r="Q1227" s="281"/>
      <c r="R1227" s="281"/>
      <c r="S1227" s="281"/>
      <c r="T1227" s="281"/>
      <c r="U1227" s="281"/>
    </row>
    <row r="1228" spans="1:21" x14ac:dyDescent="0.3">
      <c r="A1228" s="5" t="s">
        <v>1212</v>
      </c>
      <c r="D1228" s="425" t="s">
        <v>1339</v>
      </c>
      <c r="E1228" s="36" t="s">
        <v>46</v>
      </c>
      <c r="F1228" s="10"/>
      <c r="G1228" s="21"/>
      <c r="H1228" s="12" t="s">
        <v>37</v>
      </c>
      <c r="I1228" s="13"/>
      <c r="J1228" s="49" t="s">
        <v>490</v>
      </c>
      <c r="K1228" s="304"/>
      <c r="L1228" s="298"/>
      <c r="M1228" s="298" t="str">
        <f t="shared" si="335"/>
        <v>By Owner</v>
      </c>
      <c r="N1228" s="49"/>
      <c r="O1228" s="104"/>
      <c r="Q1228" s="281"/>
      <c r="R1228" s="281"/>
      <c r="S1228" s="281"/>
      <c r="T1228" s="281"/>
      <c r="U1228" s="281"/>
    </row>
    <row r="1229" spans="1:21" x14ac:dyDescent="0.3">
      <c r="A1229" s="5" t="s">
        <v>1212</v>
      </c>
      <c r="D1229" s="425" t="s">
        <v>1339</v>
      </c>
      <c r="E1229" s="36" t="s">
        <v>426</v>
      </c>
      <c r="F1229" s="10"/>
      <c r="G1229" s="21"/>
      <c r="H1229" s="12" t="s">
        <v>0</v>
      </c>
      <c r="I1229" s="13"/>
      <c r="J1229" s="49">
        <f t="shared" ref="J1229" si="337">+I1229*G1229</f>
        <v>0</v>
      </c>
      <c r="K1229" s="304"/>
      <c r="L1229" s="298"/>
      <c r="M1229" s="298">
        <f t="shared" si="335"/>
        <v>0</v>
      </c>
      <c r="N1229" s="49"/>
      <c r="O1229" s="104"/>
      <c r="Q1229" s="281"/>
      <c r="R1229" s="281"/>
      <c r="S1229" s="281"/>
      <c r="T1229" s="281"/>
      <c r="U1229" s="281"/>
    </row>
    <row r="1230" spans="1:21" x14ac:dyDescent="0.3">
      <c r="A1230" s="5" t="s">
        <v>1212</v>
      </c>
      <c r="D1230" s="425"/>
      <c r="E1230" s="39"/>
      <c r="F1230" s="10"/>
      <c r="G1230" s="11"/>
      <c r="H1230" s="12"/>
      <c r="I1230" s="11"/>
      <c r="J1230" s="49"/>
      <c r="K1230" s="304"/>
      <c r="L1230" s="298"/>
      <c r="M1230" s="298"/>
      <c r="N1230" s="49"/>
      <c r="O1230" s="114"/>
      <c r="Q1230" s="281"/>
      <c r="R1230" s="281"/>
      <c r="S1230" s="281"/>
      <c r="T1230" s="281"/>
      <c r="U1230" s="281"/>
    </row>
    <row r="1231" spans="1:21" x14ac:dyDescent="0.3">
      <c r="A1231" s="5" t="s">
        <v>1212</v>
      </c>
      <c r="D1231" s="425"/>
      <c r="E1231" s="39"/>
      <c r="F1231" s="10"/>
      <c r="G1231" s="11"/>
      <c r="H1231" s="12"/>
      <c r="I1231" s="11"/>
      <c r="J1231" s="49"/>
      <c r="K1231" s="304"/>
      <c r="L1231" s="298"/>
      <c r="M1231" s="298"/>
      <c r="N1231" s="49"/>
      <c r="O1231" s="114"/>
      <c r="Q1231" s="281"/>
      <c r="R1231" s="281"/>
      <c r="S1231" s="281"/>
      <c r="T1231" s="281"/>
      <c r="U1231" s="281"/>
    </row>
    <row r="1232" spans="1:21" ht="15.5" x14ac:dyDescent="0.3">
      <c r="A1232" s="5" t="s">
        <v>1212</v>
      </c>
      <c r="D1232" s="424" t="s">
        <v>801</v>
      </c>
      <c r="E1232" s="69" t="s">
        <v>665</v>
      </c>
      <c r="F1232" s="56"/>
      <c r="G1232" s="57"/>
      <c r="H1232" s="58"/>
      <c r="I1232" s="59"/>
      <c r="J1232" s="60"/>
      <c r="K1232" s="303"/>
      <c r="L1232" s="60"/>
      <c r="M1232" s="60"/>
      <c r="N1232" s="59">
        <f>SUM(M1233:M1240)</f>
        <v>0</v>
      </c>
      <c r="O1232" s="435">
        <f>IFERROR(N1232/$G$6,0)</f>
        <v>0</v>
      </c>
      <c r="Q1232" s="281"/>
      <c r="R1232" s="281"/>
      <c r="S1232" s="288"/>
      <c r="T1232" s="281"/>
      <c r="U1232" s="281"/>
    </row>
    <row r="1233" spans="1:21" x14ac:dyDescent="0.3">
      <c r="A1233" s="5" t="s">
        <v>1212</v>
      </c>
      <c r="D1233" s="425" t="s">
        <v>1339</v>
      </c>
      <c r="E1233" s="36" t="s">
        <v>8</v>
      </c>
      <c r="F1233" s="10" t="s">
        <v>404</v>
      </c>
      <c r="G1233" s="11">
        <v>1</v>
      </c>
      <c r="H1233" s="12" t="s">
        <v>0</v>
      </c>
      <c r="I1233" s="13"/>
      <c r="J1233" s="49">
        <f>+I1233*G1233</f>
        <v>0</v>
      </c>
      <c r="K1233" s="304"/>
      <c r="L1233" s="298"/>
      <c r="M1233" s="298">
        <f t="shared" ref="M1233:M1238" si="338">IF(K1233="x","Included in Sub Bid",J1233)</f>
        <v>0</v>
      </c>
      <c r="N1233" s="49"/>
      <c r="O1233" s="104"/>
      <c r="Q1233" s="281"/>
      <c r="R1233" s="281"/>
      <c r="S1233" s="281"/>
      <c r="T1233" s="281"/>
      <c r="U1233" s="281"/>
    </row>
    <row r="1234" spans="1:21" x14ac:dyDescent="0.3">
      <c r="A1234" s="5" t="s">
        <v>1212</v>
      </c>
      <c r="D1234" s="425" t="s">
        <v>1339</v>
      </c>
      <c r="E1234" s="36" t="s">
        <v>177</v>
      </c>
      <c r="F1234" s="10" t="s">
        <v>404</v>
      </c>
      <c r="G1234" s="34">
        <v>0.5</v>
      </c>
      <c r="H1234" s="12" t="s">
        <v>0</v>
      </c>
      <c r="I1234" s="13"/>
      <c r="J1234" s="49">
        <f>+I1234*G1234</f>
        <v>0</v>
      </c>
      <c r="K1234" s="304"/>
      <c r="L1234" s="298"/>
      <c r="M1234" s="298">
        <f t="shared" si="338"/>
        <v>0</v>
      </c>
      <c r="N1234" s="49"/>
      <c r="O1234" s="104"/>
      <c r="Q1234" s="281"/>
      <c r="R1234" s="281"/>
      <c r="S1234" s="281"/>
      <c r="T1234" s="281"/>
      <c r="U1234" s="281"/>
    </row>
    <row r="1235" spans="1:21" x14ac:dyDescent="0.3">
      <c r="A1235" s="5" t="s">
        <v>1212</v>
      </c>
      <c r="D1235" s="425" t="s">
        <v>1339</v>
      </c>
      <c r="E1235" s="36" t="s">
        <v>13</v>
      </c>
      <c r="F1235" s="10"/>
      <c r="G1235" s="11"/>
      <c r="H1235" s="12" t="s">
        <v>0</v>
      </c>
      <c r="I1235" s="13"/>
      <c r="J1235" s="49">
        <f t="shared" ref="J1235:J1238" si="339">+I1235*G1235</f>
        <v>0</v>
      </c>
      <c r="K1235" s="304"/>
      <c r="L1235" s="298"/>
      <c r="M1235" s="298">
        <f t="shared" si="338"/>
        <v>0</v>
      </c>
      <c r="N1235" s="49"/>
      <c r="O1235" s="104"/>
      <c r="Q1235" s="281"/>
      <c r="R1235" s="281"/>
      <c r="S1235" s="281"/>
      <c r="T1235" s="281"/>
      <c r="U1235" s="281"/>
    </row>
    <row r="1236" spans="1:21" x14ac:dyDescent="0.3">
      <c r="A1236" s="5" t="s">
        <v>1212</v>
      </c>
      <c r="D1236" s="425" t="s">
        <v>1339</v>
      </c>
      <c r="E1236" s="36" t="s">
        <v>175</v>
      </c>
      <c r="F1236" s="10" t="s">
        <v>404</v>
      </c>
      <c r="G1236" s="21">
        <f>'Project Info Input'!C28</f>
        <v>0</v>
      </c>
      <c r="H1236" s="12" t="s">
        <v>37</v>
      </c>
      <c r="I1236" s="13"/>
      <c r="J1236" s="49">
        <f t="shared" si="339"/>
        <v>0</v>
      </c>
      <c r="K1236" s="304"/>
      <c r="L1236" s="298"/>
      <c r="M1236" s="298">
        <f t="shared" si="338"/>
        <v>0</v>
      </c>
      <c r="N1236" s="49"/>
      <c r="O1236" s="104"/>
      <c r="Q1236" s="281"/>
      <c r="R1236" s="281"/>
      <c r="S1236" s="281"/>
      <c r="T1236" s="281"/>
      <c r="U1236" s="281"/>
    </row>
    <row r="1237" spans="1:21" x14ac:dyDescent="0.3">
      <c r="A1237" s="5" t="s">
        <v>1212</v>
      </c>
      <c r="D1237" s="425" t="s">
        <v>1339</v>
      </c>
      <c r="E1237" s="36" t="s">
        <v>176</v>
      </c>
      <c r="F1237" s="10" t="s">
        <v>404</v>
      </c>
      <c r="G1237" s="21">
        <f>'Project Info Input'!C28</f>
        <v>0</v>
      </c>
      <c r="H1237" s="12" t="s">
        <v>37</v>
      </c>
      <c r="I1237" s="13"/>
      <c r="J1237" s="49" t="s">
        <v>490</v>
      </c>
      <c r="K1237" s="304"/>
      <c r="L1237" s="298"/>
      <c r="M1237" s="298" t="str">
        <f t="shared" si="338"/>
        <v>By Owner</v>
      </c>
      <c r="N1237" s="49"/>
      <c r="O1237" s="104"/>
      <c r="Q1237" s="281"/>
      <c r="R1237" s="281"/>
      <c r="S1237" s="281"/>
      <c r="T1237" s="281"/>
      <c r="U1237" s="281"/>
    </row>
    <row r="1238" spans="1:21" x14ac:dyDescent="0.3">
      <c r="A1238" s="5" t="s">
        <v>1212</v>
      </c>
      <c r="D1238" s="425" t="s">
        <v>1339</v>
      </c>
      <c r="E1238" s="36" t="s">
        <v>178</v>
      </c>
      <c r="F1238" s="10"/>
      <c r="G1238" s="11"/>
      <c r="H1238" s="12" t="s">
        <v>0</v>
      </c>
      <c r="I1238" s="13"/>
      <c r="J1238" s="49">
        <f t="shared" si="339"/>
        <v>0</v>
      </c>
      <c r="K1238" s="304"/>
      <c r="L1238" s="298"/>
      <c r="M1238" s="298">
        <f t="shared" si="338"/>
        <v>0</v>
      </c>
      <c r="N1238" s="49"/>
      <c r="O1238" s="104"/>
      <c r="Q1238" s="281"/>
      <c r="R1238" s="281"/>
      <c r="S1238" s="281"/>
      <c r="T1238" s="281"/>
      <c r="U1238" s="281"/>
    </row>
    <row r="1239" spans="1:21" x14ac:dyDescent="0.3">
      <c r="A1239" s="5" t="s">
        <v>1212</v>
      </c>
      <c r="D1239" s="425"/>
      <c r="E1239" s="36"/>
      <c r="F1239" s="10"/>
      <c r="G1239" s="11"/>
      <c r="H1239" s="12"/>
      <c r="I1239" s="13"/>
      <c r="J1239" s="49"/>
      <c r="K1239" s="304"/>
      <c r="L1239" s="298"/>
      <c r="M1239" s="298"/>
      <c r="N1239" s="49"/>
      <c r="O1239" s="104"/>
      <c r="Q1239" s="281"/>
      <c r="R1239" s="281"/>
      <c r="S1239" s="281"/>
      <c r="T1239" s="281"/>
      <c r="U1239" s="281"/>
    </row>
    <row r="1240" spans="1:21" x14ac:dyDescent="0.3">
      <c r="A1240" s="5" t="s">
        <v>1212</v>
      </c>
      <c r="D1240" s="425"/>
      <c r="E1240" s="50"/>
      <c r="F1240" s="10"/>
      <c r="G1240" s="11"/>
      <c r="H1240" s="12"/>
      <c r="I1240" s="11"/>
      <c r="J1240" s="14"/>
      <c r="K1240" s="304"/>
      <c r="L1240" s="298"/>
      <c r="M1240" s="298"/>
      <c r="N1240" s="14"/>
      <c r="O1240" s="140"/>
      <c r="Q1240" s="281"/>
      <c r="R1240" s="281"/>
      <c r="S1240" s="281"/>
      <c r="T1240" s="281"/>
      <c r="U1240" s="281"/>
    </row>
    <row r="1241" spans="1:21" ht="15.5" x14ac:dyDescent="0.35">
      <c r="A1241" s="5" t="s">
        <v>1212</v>
      </c>
      <c r="D1241" s="431"/>
      <c r="E1241" s="68" t="s">
        <v>652</v>
      </c>
      <c r="F1241" s="63"/>
      <c r="G1241" s="64"/>
      <c r="H1241" s="65"/>
      <c r="I1241" s="66"/>
      <c r="J1241" s="66"/>
      <c r="K1241" s="305"/>
      <c r="L1241" s="66"/>
      <c r="M1241" s="66"/>
      <c r="N1241" s="66">
        <f>N1242</f>
        <v>40.396914674999998</v>
      </c>
      <c r="O1241" s="317">
        <f>IFERROR(N1241/$G$6,0)</f>
        <v>0</v>
      </c>
      <c r="Q1241" s="281"/>
      <c r="R1241" s="281"/>
      <c r="S1241" s="281"/>
      <c r="T1241" s="281"/>
      <c r="U1241" s="281"/>
    </row>
    <row r="1242" spans="1:21" ht="15.5" x14ac:dyDescent="0.3">
      <c r="A1242" s="5" t="s">
        <v>1212</v>
      </c>
      <c r="D1242" s="424" t="s">
        <v>801</v>
      </c>
      <c r="E1242" s="69" t="s">
        <v>652</v>
      </c>
      <c r="F1242" s="56"/>
      <c r="G1242" s="57"/>
      <c r="H1242" s="58"/>
      <c r="I1242" s="59"/>
      <c r="J1242" s="60"/>
      <c r="K1242" s="303"/>
      <c r="L1242" s="60"/>
      <c r="M1242" s="60"/>
      <c r="N1242" s="59">
        <f>SUM(M1243:M1246)</f>
        <v>40.396914674999998</v>
      </c>
      <c r="O1242" s="435">
        <f>IFERROR(N1242/$G$6,0)</f>
        <v>0</v>
      </c>
      <c r="Q1242" s="281"/>
      <c r="R1242" s="281"/>
      <c r="S1242" s="281"/>
      <c r="T1242" s="281"/>
      <c r="U1242" s="281"/>
    </row>
    <row r="1243" spans="1:21" x14ac:dyDescent="0.3">
      <c r="A1243" s="5" t="s">
        <v>1212</v>
      </c>
      <c r="D1243" s="425" t="s">
        <v>1339</v>
      </c>
      <c r="E1243" s="36" t="s">
        <v>653</v>
      </c>
      <c r="F1243" s="10"/>
      <c r="G1243" s="23">
        <v>6.4999999999999997E-3</v>
      </c>
      <c r="H1243" s="12"/>
      <c r="I1243" s="16">
        <f>SUM(M10:M1240)</f>
        <v>6214.9099500000002</v>
      </c>
      <c r="J1243" s="16">
        <f>G1243*I1243</f>
        <v>40.396914674999998</v>
      </c>
      <c r="K1243" s="304"/>
      <c r="L1243" s="298"/>
      <c r="M1243" s="298">
        <f t="shared" ref="M1243:M1244" si="340">IF(K1243="x","Included in Sub Bid",J1243)</f>
        <v>40.396914674999998</v>
      </c>
      <c r="N1243" s="16"/>
      <c r="O1243" s="114"/>
      <c r="Q1243" s="281"/>
      <c r="R1243" s="281"/>
      <c r="S1243" s="281"/>
      <c r="T1243" s="281"/>
      <c r="U1243" s="281"/>
    </row>
    <row r="1244" spans="1:21" x14ac:dyDescent="0.3">
      <c r="A1244" s="5" t="s">
        <v>1212</v>
      </c>
      <c r="D1244" s="425" t="s">
        <v>1339</v>
      </c>
      <c r="E1244" s="36" t="s">
        <v>36</v>
      </c>
      <c r="F1244" s="10">
        <v>2.0000000000000001E-4</v>
      </c>
      <c r="G1244" s="11">
        <f>'Project Info Input'!C25</f>
        <v>0</v>
      </c>
      <c r="H1244" s="12" t="s">
        <v>42</v>
      </c>
      <c r="I1244" s="16">
        <f>+(N9+N22+N328)*F1244</f>
        <v>1.2367980000000001</v>
      </c>
      <c r="J1244" s="16">
        <f>+I1244*G1244</f>
        <v>0</v>
      </c>
      <c r="K1244" s="304"/>
      <c r="L1244" s="298"/>
      <c r="M1244" s="298">
        <f t="shared" si="340"/>
        <v>0</v>
      </c>
      <c r="N1244" s="49"/>
      <c r="O1244" s="104"/>
      <c r="Q1244" s="281"/>
      <c r="R1244" s="281"/>
      <c r="S1244" s="281"/>
      <c r="T1244" s="281"/>
      <c r="U1244" s="281"/>
    </row>
    <row r="1245" spans="1:21" x14ac:dyDescent="0.3">
      <c r="A1245" s="5" t="s">
        <v>1212</v>
      </c>
      <c r="D1245" s="425"/>
      <c r="E1245" s="36"/>
      <c r="F1245" s="10"/>
      <c r="G1245" s="11"/>
      <c r="H1245" s="12"/>
      <c r="I1245" s="13"/>
      <c r="J1245" s="16"/>
      <c r="K1245" s="304"/>
      <c r="L1245" s="298"/>
      <c r="M1245" s="298"/>
      <c r="N1245" s="49"/>
      <c r="O1245" s="104"/>
      <c r="Q1245" s="281"/>
      <c r="R1245" s="281"/>
      <c r="S1245" s="281"/>
      <c r="T1245" s="281"/>
      <c r="U1245" s="281"/>
    </row>
    <row r="1246" spans="1:21" x14ac:dyDescent="0.3">
      <c r="A1246" s="5" t="s">
        <v>1212</v>
      </c>
      <c r="D1246" s="425"/>
      <c r="E1246" s="11"/>
      <c r="F1246" s="10"/>
      <c r="G1246" s="21"/>
      <c r="H1246" s="12"/>
      <c r="I1246" s="13"/>
      <c r="J1246" s="16"/>
      <c r="K1246" s="304"/>
      <c r="L1246" s="298"/>
      <c r="M1246" s="298"/>
      <c r="N1246" s="16"/>
      <c r="O1246" s="104"/>
      <c r="Q1246" s="281"/>
      <c r="R1246" s="281"/>
      <c r="S1246" s="281"/>
      <c r="T1246" s="281"/>
      <c r="U1246" s="281"/>
    </row>
    <row r="1247" spans="1:21" ht="15.5" x14ac:dyDescent="0.35">
      <c r="A1247" s="5" t="s">
        <v>1212</v>
      </c>
      <c r="D1247" s="431"/>
      <c r="E1247" s="68" t="s">
        <v>654</v>
      </c>
      <c r="F1247" s="63"/>
      <c r="G1247" s="64"/>
      <c r="H1247" s="65"/>
      <c r="I1247" s="66"/>
      <c r="J1247" s="66"/>
      <c r="K1247" s="305"/>
      <c r="L1247" s="66"/>
      <c r="M1247" s="66"/>
      <c r="N1247" s="66">
        <f>N1248</f>
        <v>312.76534323375</v>
      </c>
      <c r="O1247" s="317">
        <f>IFERROR(N1247/$G$6,0)</f>
        <v>0</v>
      </c>
      <c r="Q1247" s="281"/>
      <c r="R1247" s="281"/>
      <c r="S1247" s="281"/>
      <c r="T1247" s="281"/>
      <c r="U1247" s="281"/>
    </row>
    <row r="1248" spans="1:21" ht="15.5" x14ac:dyDescent="0.3">
      <c r="A1248" s="5" t="s">
        <v>1212</v>
      </c>
      <c r="D1248" s="424" t="s">
        <v>801</v>
      </c>
      <c r="E1248" s="69" t="s">
        <v>825</v>
      </c>
      <c r="F1248" s="56"/>
      <c r="G1248" s="57"/>
      <c r="H1248" s="58"/>
      <c r="I1248" s="59"/>
      <c r="J1248" s="60"/>
      <c r="K1248" s="303"/>
      <c r="L1248" s="60"/>
      <c r="M1248" s="60"/>
      <c r="N1248" s="59">
        <f>SUM(M1249:M1252)</f>
        <v>312.76534323375</v>
      </c>
      <c r="O1248" s="435">
        <f>IFERROR(N1248/$G$6,0)</f>
        <v>0</v>
      </c>
      <c r="Q1248" s="281"/>
      <c r="R1248" s="281"/>
      <c r="S1248" s="281"/>
      <c r="T1248" s="281"/>
      <c r="U1248" s="281"/>
    </row>
    <row r="1249" spans="1:21" x14ac:dyDescent="0.3">
      <c r="A1249" s="5" t="s">
        <v>1212</v>
      </c>
      <c r="D1249" s="425" t="s">
        <v>1339</v>
      </c>
      <c r="E1249" s="36" t="s">
        <v>594</v>
      </c>
      <c r="F1249" s="10"/>
      <c r="G1249" s="487">
        <v>0.02</v>
      </c>
      <c r="H1249" s="12"/>
      <c r="I1249" s="16">
        <f>SUM(M10:M1246)</f>
        <v>6255.3068646749998</v>
      </c>
      <c r="J1249" s="16">
        <f t="shared" ref="J1249" si="341">G1249*I1249</f>
        <v>125.1061372935</v>
      </c>
      <c r="K1249" s="304"/>
      <c r="L1249" s="298"/>
      <c r="M1249" s="298">
        <f t="shared" ref="M1249:M1250" si="342">IF(K1249="x","Included in Sub Bid",J1249)</f>
        <v>125.1061372935</v>
      </c>
      <c r="N1249" s="16"/>
      <c r="O1249" s="114"/>
      <c r="Q1249" s="281"/>
      <c r="R1249" s="281"/>
      <c r="S1249" s="281"/>
      <c r="T1249" s="281"/>
      <c r="U1249" s="281"/>
    </row>
    <row r="1250" spans="1:21" x14ac:dyDescent="0.3">
      <c r="A1250" s="5" t="s">
        <v>1212</v>
      </c>
      <c r="D1250" s="425" t="s">
        <v>1339</v>
      </c>
      <c r="E1250" s="36" t="s">
        <v>593</v>
      </c>
      <c r="F1250" s="10"/>
      <c r="G1250" s="487">
        <v>0.03</v>
      </c>
      <c r="H1250" s="12"/>
      <c r="I1250" s="16">
        <f>SUM(M10:M1246)</f>
        <v>6255.3068646749998</v>
      </c>
      <c r="J1250" s="16">
        <f t="shared" ref="J1250" si="343">G1250*I1250</f>
        <v>187.65920594024999</v>
      </c>
      <c r="K1250" s="304"/>
      <c r="L1250" s="298"/>
      <c r="M1250" s="298">
        <f t="shared" si="342"/>
        <v>187.65920594024999</v>
      </c>
      <c r="N1250" s="16"/>
      <c r="O1250" s="114"/>
      <c r="Q1250" s="281"/>
      <c r="R1250" s="281"/>
      <c r="S1250" s="281"/>
      <c r="T1250" s="281"/>
      <c r="U1250" s="281"/>
    </row>
    <row r="1251" spans="1:21" x14ac:dyDescent="0.3">
      <c r="A1251" s="5" t="s">
        <v>1212</v>
      </c>
      <c r="D1251" s="425"/>
      <c r="E1251" s="36"/>
      <c r="F1251" s="10"/>
      <c r="G1251" s="26"/>
      <c r="H1251" s="12"/>
      <c r="I1251" s="16"/>
      <c r="J1251" s="16"/>
      <c r="K1251" s="304"/>
      <c r="L1251" s="298"/>
      <c r="M1251" s="298"/>
      <c r="N1251" s="16"/>
      <c r="O1251" s="114"/>
      <c r="Q1251" s="281"/>
      <c r="R1251" s="281"/>
      <c r="S1251" s="281"/>
      <c r="T1251" s="281"/>
      <c r="U1251" s="281"/>
    </row>
    <row r="1252" spans="1:21" ht="13.5" thickBot="1" x14ac:dyDescent="0.35">
      <c r="A1252" s="5" t="s">
        <v>1212</v>
      </c>
      <c r="D1252" s="430"/>
      <c r="E1252" s="105"/>
      <c r="F1252" s="338"/>
      <c r="G1252" s="344"/>
      <c r="H1252" s="106"/>
      <c r="I1252" s="107"/>
      <c r="J1252" s="107"/>
      <c r="K1252" s="343"/>
      <c r="L1252" s="299"/>
      <c r="M1252" s="299"/>
      <c r="N1252" s="107"/>
      <c r="O1252" s="119"/>
      <c r="Q1252" s="281"/>
      <c r="R1252" s="281"/>
      <c r="S1252" s="281"/>
      <c r="T1252" s="281"/>
      <c r="U1252" s="281"/>
    </row>
    <row r="1253" spans="1:21" ht="18.5" x14ac:dyDescent="0.45">
      <c r="A1253" s="5" t="s">
        <v>1212</v>
      </c>
      <c r="D1253" s="423"/>
      <c r="E1253" s="120" t="s">
        <v>668</v>
      </c>
      <c r="F1253" s="99"/>
      <c r="G1253" s="100"/>
      <c r="H1253" s="101"/>
      <c r="I1253" s="102"/>
      <c r="J1253" s="103"/>
      <c r="K1253" s="103"/>
      <c r="L1253" s="103"/>
      <c r="M1253" s="103"/>
      <c r="N1253" s="182">
        <f>SUM(N1254:N1268)</f>
        <v>0</v>
      </c>
      <c r="O1253" s="434">
        <f>IFERROR(N1253/$G$6,0)</f>
        <v>0</v>
      </c>
      <c r="Q1253" s="282" t="str">
        <f>IF(SUM(J1255:J1268)=N1254,"SUBTOTALS MATCH LINE ITEM TOTALS","ERROR- CHECK SUMS")</f>
        <v>SUBTOTALS MATCH LINE ITEM TOTALS</v>
      </c>
      <c r="R1253" s="281"/>
      <c r="S1253" s="295">
        <f>SUM(M1255:M1268)</f>
        <v>0</v>
      </c>
      <c r="T1253" s="295">
        <f>N1254</f>
        <v>0</v>
      </c>
      <c r="U1253" s="283">
        <f>S1253-T1253</f>
        <v>0</v>
      </c>
    </row>
    <row r="1254" spans="1:21" ht="15.5" x14ac:dyDescent="0.3">
      <c r="A1254" s="5" t="s">
        <v>1212</v>
      </c>
      <c r="D1254" s="424" t="s">
        <v>801</v>
      </c>
      <c r="E1254" s="69" t="s">
        <v>668</v>
      </c>
      <c r="F1254" s="56"/>
      <c r="G1254" s="57"/>
      <c r="H1254" s="58"/>
      <c r="I1254" s="59"/>
      <c r="J1254" s="60"/>
      <c r="K1254" s="303"/>
      <c r="L1254" s="60"/>
      <c r="M1254" s="60"/>
      <c r="N1254" s="59">
        <f>SUM(M1255:M1268)</f>
        <v>0</v>
      </c>
      <c r="O1254" s="435">
        <f>IFERROR(N1254/$G$6,0)</f>
        <v>0</v>
      </c>
      <c r="Q1254" s="282" t="str">
        <f>IF(SUM(J1254:J1267)=N1253,"DIVISION TOTAL MATCHES LINE ITEM TOTALS","ERROR- CHECK SUMS")</f>
        <v>DIVISION TOTAL MATCHES LINE ITEM TOTALS</v>
      </c>
      <c r="R1254" s="281"/>
      <c r="S1254" s="295">
        <f>N1254</f>
        <v>0</v>
      </c>
      <c r="T1254" s="297">
        <f>N1253</f>
        <v>0</v>
      </c>
      <c r="U1254" s="283">
        <f>S1254-T1254</f>
        <v>0</v>
      </c>
    </row>
    <row r="1255" spans="1:21" x14ac:dyDescent="0.3">
      <c r="A1255" s="5" t="s">
        <v>1212</v>
      </c>
      <c r="D1255" s="425" t="s">
        <v>1339</v>
      </c>
      <c r="E1255" s="36" t="s">
        <v>1388</v>
      </c>
      <c r="F1255" s="10"/>
      <c r="G1255" s="21"/>
      <c r="H1255" s="12" t="s">
        <v>37</v>
      </c>
      <c r="I1255" s="16">
        <f>G6*0.6+10000</f>
        <v>10000</v>
      </c>
      <c r="J1255" s="49">
        <f>I1255*G1255</f>
        <v>0</v>
      </c>
      <c r="K1255" s="304"/>
      <c r="L1255" s="298"/>
      <c r="M1255" s="298">
        <f t="shared" ref="M1255:M1264" si="344">IF(K1255="x","Included in Sub Bid",J1255)</f>
        <v>0</v>
      </c>
      <c r="N1255" s="49"/>
      <c r="O1255" s="104"/>
      <c r="Q1255" s="282" t="str">
        <f>IF(N1253=SUM(N1254:N1268),"DIVISION TOTAL MATCHES SUBTOTALS","ERROR- SUBTOTALS")</f>
        <v>DIVISION TOTAL MATCHES SUBTOTALS</v>
      </c>
      <c r="R1255" s="281"/>
      <c r="S1255" s="297">
        <f>N1253</f>
        <v>0</v>
      </c>
      <c r="T1255" s="295">
        <f>SUM(N1254:N1268)</f>
        <v>0</v>
      </c>
      <c r="U1255" s="283">
        <f>S1255-T1255</f>
        <v>0</v>
      </c>
    </row>
    <row r="1256" spans="1:21" x14ac:dyDescent="0.3">
      <c r="A1256" s="5" t="s">
        <v>1212</v>
      </c>
      <c r="D1256" s="425" t="s">
        <v>1339</v>
      </c>
      <c r="E1256" s="36" t="s">
        <v>722</v>
      </c>
      <c r="F1256" s="10"/>
      <c r="G1256" s="21"/>
      <c r="H1256" s="12" t="s">
        <v>37</v>
      </c>
      <c r="I1256" s="16"/>
      <c r="J1256" s="49">
        <f>I1256*G1256</f>
        <v>0</v>
      </c>
      <c r="K1256" s="304"/>
      <c r="L1256" s="298"/>
      <c r="M1256" s="298">
        <f t="shared" si="344"/>
        <v>0</v>
      </c>
      <c r="N1256" s="49"/>
      <c r="O1256" s="104"/>
      <c r="Q1256" s="281"/>
      <c r="R1256" s="281"/>
      <c r="S1256" s="281"/>
      <c r="T1256" s="281"/>
      <c r="U1256" s="281"/>
    </row>
    <row r="1257" spans="1:21" x14ac:dyDescent="0.3">
      <c r="A1257" s="5" t="s">
        <v>1212</v>
      </c>
      <c r="D1257" s="425" t="s">
        <v>1339</v>
      </c>
      <c r="E1257" s="36" t="s">
        <v>723</v>
      </c>
      <c r="F1257" s="10"/>
      <c r="G1257" s="21"/>
      <c r="H1257" s="12" t="s">
        <v>0</v>
      </c>
      <c r="I1257" s="16"/>
      <c r="J1257" s="49">
        <f>I1257*G1257</f>
        <v>0</v>
      </c>
      <c r="K1257" s="304"/>
      <c r="L1257" s="298"/>
      <c r="M1257" s="298">
        <f t="shared" si="344"/>
        <v>0</v>
      </c>
      <c r="N1257" s="49"/>
      <c r="O1257" s="104"/>
      <c r="Q1257" s="281"/>
      <c r="R1257" s="281"/>
      <c r="S1257" s="281"/>
      <c r="T1257" s="281"/>
      <c r="U1257" s="281"/>
    </row>
    <row r="1258" spans="1:21" x14ac:dyDescent="0.3">
      <c r="A1258" s="5" t="s">
        <v>1212</v>
      </c>
      <c r="D1258" s="425" t="s">
        <v>1339</v>
      </c>
      <c r="E1258" s="36" t="s">
        <v>724</v>
      </c>
      <c r="F1258" s="10"/>
      <c r="G1258" s="21"/>
      <c r="H1258" s="12" t="s">
        <v>1</v>
      </c>
      <c r="I1258" s="16"/>
      <c r="J1258" s="49">
        <f>I1258*G1258</f>
        <v>0</v>
      </c>
      <c r="K1258" s="304"/>
      <c r="L1258" s="298"/>
      <c r="M1258" s="298">
        <f t="shared" si="344"/>
        <v>0</v>
      </c>
      <c r="N1258" s="49"/>
      <c r="O1258" s="104"/>
      <c r="Q1258" s="281"/>
      <c r="R1258" s="281"/>
      <c r="S1258" s="281"/>
      <c r="T1258" s="281"/>
      <c r="U1258" s="281"/>
    </row>
    <row r="1259" spans="1:21" x14ac:dyDescent="0.3">
      <c r="A1259" s="5" t="s">
        <v>1212</v>
      </c>
      <c r="D1259" s="425" t="s">
        <v>1339</v>
      </c>
      <c r="E1259" s="36" t="s">
        <v>725</v>
      </c>
      <c r="F1259" s="10"/>
      <c r="G1259" s="21"/>
      <c r="H1259" s="12" t="s">
        <v>0</v>
      </c>
      <c r="I1259" s="16"/>
      <c r="J1259" s="49">
        <f>I1259*G1259</f>
        <v>0</v>
      </c>
      <c r="K1259" s="304"/>
      <c r="L1259" s="298"/>
      <c r="M1259" s="298">
        <f t="shared" si="344"/>
        <v>0</v>
      </c>
      <c r="N1259" s="49"/>
      <c r="O1259" s="104"/>
      <c r="Q1259" s="281"/>
      <c r="R1259" s="281"/>
      <c r="S1259" s="281"/>
      <c r="T1259" s="281"/>
      <c r="U1259" s="281"/>
    </row>
    <row r="1260" spans="1:21" x14ac:dyDescent="0.3">
      <c r="A1260" s="5" t="s">
        <v>1212</v>
      </c>
      <c r="D1260" s="425" t="s">
        <v>1339</v>
      </c>
      <c r="E1260" s="36" t="s">
        <v>726</v>
      </c>
      <c r="F1260" s="10"/>
      <c r="G1260" s="21"/>
      <c r="H1260" s="12" t="s">
        <v>0</v>
      </c>
      <c r="I1260" s="16"/>
      <c r="J1260" s="49">
        <f t="shared" ref="J1260:J1262" si="345">I1260*G1260</f>
        <v>0</v>
      </c>
      <c r="K1260" s="304"/>
      <c r="L1260" s="298"/>
      <c r="M1260" s="298">
        <f t="shared" si="344"/>
        <v>0</v>
      </c>
      <c r="N1260" s="49"/>
      <c r="O1260" s="104"/>
      <c r="Q1260" s="281"/>
      <c r="R1260" s="281"/>
      <c r="S1260" s="281"/>
      <c r="T1260" s="281"/>
      <c r="U1260" s="281"/>
    </row>
    <row r="1261" spans="1:21" x14ac:dyDescent="0.3">
      <c r="A1261" s="5" t="s">
        <v>1212</v>
      </c>
      <c r="D1261" s="425" t="s">
        <v>1339</v>
      </c>
      <c r="E1261" s="36" t="s">
        <v>727</v>
      </c>
      <c r="F1261" s="10"/>
      <c r="G1261" s="21"/>
      <c r="H1261" s="12" t="s">
        <v>0</v>
      </c>
      <c r="I1261" s="16"/>
      <c r="J1261" s="49">
        <f t="shared" si="345"/>
        <v>0</v>
      </c>
      <c r="K1261" s="304"/>
      <c r="L1261" s="298"/>
      <c r="M1261" s="298">
        <f t="shared" si="344"/>
        <v>0</v>
      </c>
      <c r="N1261" s="49"/>
      <c r="O1261" s="104"/>
      <c r="Q1261" s="281"/>
      <c r="R1261" s="281"/>
      <c r="S1261" s="281"/>
      <c r="T1261" s="281"/>
      <c r="U1261" s="281"/>
    </row>
    <row r="1262" spans="1:21" x14ac:dyDescent="0.3">
      <c r="A1262" s="5" t="s">
        <v>1212</v>
      </c>
      <c r="D1262" s="425" t="s">
        <v>1339</v>
      </c>
      <c r="E1262" s="36" t="s">
        <v>728</v>
      </c>
      <c r="F1262" s="10"/>
      <c r="G1262" s="21"/>
      <c r="H1262" s="12" t="s">
        <v>0</v>
      </c>
      <c r="I1262" s="16"/>
      <c r="J1262" s="49">
        <f t="shared" si="345"/>
        <v>0</v>
      </c>
      <c r="K1262" s="304"/>
      <c r="L1262" s="298"/>
      <c r="M1262" s="298">
        <f t="shared" si="344"/>
        <v>0</v>
      </c>
      <c r="N1262" s="49"/>
      <c r="O1262" s="104"/>
      <c r="Q1262" s="281"/>
      <c r="R1262" s="281"/>
      <c r="S1262" s="281"/>
      <c r="T1262" s="281"/>
      <c r="U1262" s="281"/>
    </row>
    <row r="1263" spans="1:21" x14ac:dyDescent="0.3">
      <c r="A1263" s="5" t="s">
        <v>1212</v>
      </c>
      <c r="D1263" s="425" t="s">
        <v>1339</v>
      </c>
      <c r="E1263" s="36" t="s">
        <v>729</v>
      </c>
      <c r="F1263" s="10"/>
      <c r="G1263" s="21"/>
      <c r="H1263" s="12" t="s">
        <v>0</v>
      </c>
      <c r="I1263" s="16"/>
      <c r="J1263" s="49">
        <f t="shared" ref="J1263:J1266" si="346">I1263*G1263</f>
        <v>0</v>
      </c>
      <c r="K1263" s="304"/>
      <c r="L1263" s="298"/>
      <c r="M1263" s="298">
        <f t="shared" si="344"/>
        <v>0</v>
      </c>
      <c r="N1263" s="49"/>
      <c r="O1263" s="104"/>
      <c r="Q1263" s="281"/>
      <c r="R1263" s="281"/>
      <c r="S1263" s="281"/>
      <c r="T1263" s="281"/>
      <c r="U1263" s="281"/>
    </row>
    <row r="1264" spans="1:21" x14ac:dyDescent="0.3">
      <c r="A1264" s="5" t="s">
        <v>1212</v>
      </c>
      <c r="D1264" s="425" t="s">
        <v>1339</v>
      </c>
      <c r="E1264" s="36" t="s">
        <v>730</v>
      </c>
      <c r="F1264" s="10"/>
      <c r="G1264" s="21"/>
      <c r="H1264" s="12" t="s">
        <v>0</v>
      </c>
      <c r="I1264" s="16"/>
      <c r="J1264" s="49">
        <f t="shared" si="346"/>
        <v>0</v>
      </c>
      <c r="K1264" s="304"/>
      <c r="L1264" s="298"/>
      <c r="M1264" s="298">
        <f t="shared" si="344"/>
        <v>0</v>
      </c>
      <c r="N1264" s="49"/>
      <c r="O1264" s="104"/>
      <c r="Q1264" s="281"/>
      <c r="R1264" s="281"/>
      <c r="S1264" s="281"/>
      <c r="T1264" s="281"/>
      <c r="U1264" s="281"/>
    </row>
    <row r="1265" spans="1:29" x14ac:dyDescent="0.3">
      <c r="A1265" s="5" t="s">
        <v>1212</v>
      </c>
      <c r="D1265" s="425" t="s">
        <v>1339</v>
      </c>
      <c r="E1265" s="36" t="s">
        <v>731</v>
      </c>
      <c r="F1265" s="10"/>
      <c r="G1265" s="21"/>
      <c r="H1265" s="12" t="s">
        <v>0</v>
      </c>
      <c r="I1265" s="16"/>
      <c r="J1265" s="49">
        <f t="shared" si="346"/>
        <v>0</v>
      </c>
      <c r="K1265" s="304"/>
      <c r="L1265" s="298"/>
      <c r="M1265" s="298">
        <f t="shared" ref="M1265:M1266" si="347">IF(K1265="x","Included in Sub Bid",J1265)</f>
        <v>0</v>
      </c>
      <c r="N1265" s="49"/>
      <c r="O1265" s="104"/>
      <c r="Q1265" s="281"/>
      <c r="R1265" s="281"/>
      <c r="S1265" s="281"/>
      <c r="T1265" s="281"/>
      <c r="U1265" s="281"/>
    </row>
    <row r="1266" spans="1:29" x14ac:dyDescent="0.3">
      <c r="A1266" s="5" t="s">
        <v>1212</v>
      </c>
      <c r="D1266" s="425" t="s">
        <v>1339</v>
      </c>
      <c r="E1266" s="36" t="s">
        <v>732</v>
      </c>
      <c r="F1266" s="10"/>
      <c r="G1266" s="21"/>
      <c r="H1266" s="12" t="s">
        <v>0</v>
      </c>
      <c r="I1266" s="16"/>
      <c r="J1266" s="49">
        <f t="shared" si="346"/>
        <v>0</v>
      </c>
      <c r="K1266" s="304"/>
      <c r="L1266" s="298"/>
      <c r="M1266" s="298">
        <f t="shared" si="347"/>
        <v>0</v>
      </c>
      <c r="N1266" s="49"/>
      <c r="O1266" s="104"/>
      <c r="Q1266" s="281"/>
      <c r="R1266" s="281"/>
      <c r="S1266" s="281"/>
      <c r="T1266" s="281"/>
      <c r="U1266" s="281"/>
    </row>
    <row r="1267" spans="1:29" ht="13.5" thickBot="1" x14ac:dyDescent="0.35">
      <c r="A1267" s="5" t="s">
        <v>1212</v>
      </c>
      <c r="D1267" s="430"/>
      <c r="E1267" s="121"/>
      <c r="F1267" s="338"/>
      <c r="G1267" s="115"/>
      <c r="H1267" s="106"/>
      <c r="I1267" s="115"/>
      <c r="J1267" s="116"/>
      <c r="K1267" s="343"/>
      <c r="L1267" s="299"/>
      <c r="M1267" s="299"/>
      <c r="N1267" s="116"/>
      <c r="O1267" s="122"/>
      <c r="Q1267" s="281"/>
      <c r="R1267" s="281"/>
      <c r="S1267" s="281"/>
      <c r="T1267" s="281"/>
      <c r="U1267" s="281"/>
    </row>
    <row r="1268" spans="1:29" ht="13.5" thickBot="1" x14ac:dyDescent="0.35">
      <c r="A1268" s="5" t="s">
        <v>1212</v>
      </c>
      <c r="D1268" s="110"/>
      <c r="E1268" s="123"/>
      <c r="F1268" s="110"/>
      <c r="G1268" s="109"/>
      <c r="H1268" s="111"/>
      <c r="I1268" s="109"/>
      <c r="J1268" s="117"/>
      <c r="K1268" s="345"/>
      <c r="L1268" s="346"/>
      <c r="M1268" s="346"/>
      <c r="N1268" s="117"/>
      <c r="O1268" s="109"/>
      <c r="Q1268" s="281"/>
      <c r="R1268" s="281"/>
      <c r="S1268" s="281"/>
      <c r="T1268" s="281"/>
      <c r="U1268" s="281"/>
    </row>
    <row r="1269" spans="1:29" ht="19" thickBot="1" x14ac:dyDescent="0.5">
      <c r="A1269" s="5" t="s">
        <v>1212</v>
      </c>
      <c r="D1269" s="432"/>
      <c r="E1269" s="124" t="s">
        <v>669</v>
      </c>
      <c r="F1269" s="125"/>
      <c r="G1269" s="126"/>
      <c r="H1269" s="127"/>
      <c r="I1269" s="128"/>
      <c r="J1269" s="129"/>
      <c r="K1269" s="129"/>
      <c r="L1269" s="129"/>
      <c r="M1269" s="129"/>
      <c r="N1269" s="318">
        <f>N9+N22+N328+N1209+N1253</f>
        <v>6568.07220790875</v>
      </c>
      <c r="O1269" s="434">
        <f>IFERROR(N1269/$G$6,0)</f>
        <v>0</v>
      </c>
      <c r="Q1269" s="282" t="str">
        <f>IF((N1269=(SUM(N328:N1252)/3)+(SUM(N1253:N1267)/2)+(SUM(N9:N326)/2)),"PROJECT TOTAL MATCHES SUBTOTALS","ERROR - CHECK SUBTOTALS")</f>
        <v>PROJECT TOTAL MATCHES SUBTOTALS</v>
      </c>
      <c r="R1269" s="281"/>
      <c r="S1269" s="283">
        <f>N1269</f>
        <v>6568.07220790875</v>
      </c>
      <c r="T1269" s="283">
        <f>(SUM(N328:N1252)/3)+(SUM(N1253:N1268)/2)+(SUM(N9:N327)/2)</f>
        <v>6568.0722079087491</v>
      </c>
      <c r="U1269" s="283">
        <f>S1269-T1269</f>
        <v>0</v>
      </c>
    </row>
    <row r="1270" spans="1:29" x14ac:dyDescent="0.3">
      <c r="A1270" s="5" t="s">
        <v>1212</v>
      </c>
      <c r="D1270" s="96"/>
      <c r="E1270" s="95"/>
      <c r="F1270" s="96"/>
      <c r="G1270" s="95"/>
      <c r="H1270" s="97"/>
      <c r="I1270" s="95"/>
      <c r="J1270" s="95"/>
      <c r="K1270" s="307"/>
      <c r="L1270" s="95"/>
      <c r="M1270" s="95"/>
      <c r="N1270" s="95"/>
      <c r="O1270" s="95"/>
      <c r="Q1270" s="282" t="str">
        <f>IF(N1269=(SUM(M9:M1208)+SUM(J1212:J1268)),"PROJECT TOTAL MATCHES LINE ITEMS","ERROR - CHECK LINE ITEMS")</f>
        <v>PROJECT TOTAL MATCHES LINE ITEMS</v>
      </c>
      <c r="R1270" s="281"/>
      <c r="S1270" s="283">
        <f>N1269</f>
        <v>6568.07220790875</v>
      </c>
      <c r="T1270" s="295">
        <f>SUM(M9:M1268)</f>
        <v>6568.07220790875</v>
      </c>
      <c r="U1270" s="283">
        <f>S1270-T1270</f>
        <v>0</v>
      </c>
    </row>
    <row r="1271" spans="1:29" ht="15.5" x14ac:dyDescent="0.35">
      <c r="A1271" s="5" t="s">
        <v>1212</v>
      </c>
      <c r="D1271" s="63"/>
      <c r="E1271" s="68" t="s">
        <v>532</v>
      </c>
      <c r="F1271" s="63"/>
      <c r="G1271" s="64"/>
      <c r="H1271" s="65"/>
      <c r="I1271" s="66"/>
      <c r="J1271" s="66"/>
      <c r="K1271" s="305"/>
      <c r="L1271" s="66"/>
      <c r="M1271" s="66"/>
      <c r="N1271" s="66"/>
      <c r="O1271" s="67"/>
    </row>
    <row r="1272" spans="1:29" x14ac:dyDescent="0.3">
      <c r="A1272" s="5" t="s">
        <v>1212</v>
      </c>
      <c r="D1272" s="10"/>
      <c r="E1272" s="11"/>
      <c r="F1272" s="10"/>
      <c r="G1272" s="11"/>
      <c r="H1272" s="12"/>
      <c r="I1272" s="11"/>
      <c r="J1272" s="14"/>
      <c r="K1272" s="292"/>
      <c r="L1272" s="14"/>
      <c r="M1272" s="14"/>
      <c r="N1272" s="14"/>
      <c r="O1272" s="11"/>
    </row>
    <row r="1273" spans="1:29" x14ac:dyDescent="0.3">
      <c r="A1273" s="5" t="s">
        <v>1212</v>
      </c>
      <c r="D1273" s="10" t="s">
        <v>720</v>
      </c>
      <c r="E1273" s="11" t="s">
        <v>721</v>
      </c>
      <c r="F1273" s="24"/>
      <c r="G1273" s="11">
        <v>1</v>
      </c>
      <c r="H1273" s="12" t="s">
        <v>0</v>
      </c>
      <c r="I1273" s="77">
        <f>IF(Q1273&gt;0,Q1273*(1+$G$1243+$G$1249+$G$1250),Q1273*1.03)</f>
        <v>0</v>
      </c>
      <c r="J1273" s="16" t="str">
        <f>IF(I1273=0,"",IF(I1273&gt;0,"ADD","DEDUCT"))</f>
        <v/>
      </c>
      <c r="K1273" s="293"/>
      <c r="L1273" s="16"/>
      <c r="M1273" s="16"/>
      <c r="N1273" s="16"/>
      <c r="O1273" s="11"/>
      <c r="Q1273" s="78">
        <f>SUM(R1273:AC1273)</f>
        <v>0</v>
      </c>
      <c r="R1273" s="178"/>
      <c r="S1273" s="178"/>
      <c r="T1273" s="178"/>
      <c r="U1273" s="178"/>
      <c r="V1273" s="178"/>
      <c r="W1273" s="178"/>
      <c r="X1273" s="178"/>
      <c r="Y1273" s="178"/>
      <c r="Z1273" s="178"/>
      <c r="AA1273" s="178"/>
      <c r="AB1273" s="178"/>
      <c r="AC1273" s="178"/>
    </row>
    <row r="1274" spans="1:29" x14ac:dyDescent="0.3">
      <c r="A1274" s="5" t="s">
        <v>1212</v>
      </c>
      <c r="D1274" s="10" t="str">
        <f>IF(E1274="","",D1273+1)</f>
        <v/>
      </c>
      <c r="E1274" s="11"/>
      <c r="F1274" s="24"/>
      <c r="G1274" s="11"/>
      <c r="H1274" s="12"/>
      <c r="I1274" s="77">
        <f t="shared" ref="I1274:I1286" si="348">IF(Q1274&gt;0,Q1274*(1+$G$1243+$G$1249+$G$1250),Q1274*1.03)</f>
        <v>0</v>
      </c>
      <c r="J1274" s="16" t="str">
        <f t="shared" ref="J1274:J1286" si="349">IF(I1274=0,"",IF(I1274&gt;0,"ADD","DEDUCT"))</f>
        <v/>
      </c>
      <c r="K1274" s="293"/>
      <c r="L1274" s="16"/>
      <c r="M1274" s="16"/>
      <c r="N1274" s="16"/>
      <c r="O1274" s="11"/>
      <c r="Q1274" s="78">
        <f t="shared" ref="Q1274:Q1286" si="350">SUM(R1274:AC1274)</f>
        <v>0</v>
      </c>
      <c r="R1274" s="178"/>
      <c r="S1274" s="178"/>
      <c r="T1274" s="178"/>
      <c r="U1274" s="178"/>
      <c r="V1274" s="178"/>
      <c r="W1274" s="178"/>
      <c r="X1274" s="178"/>
      <c r="Y1274" s="178"/>
      <c r="Z1274" s="178"/>
      <c r="AA1274" s="178"/>
      <c r="AB1274" s="178"/>
      <c r="AC1274" s="178"/>
    </row>
    <row r="1275" spans="1:29" x14ac:dyDescent="0.3">
      <c r="A1275" s="5" t="s">
        <v>1212</v>
      </c>
      <c r="D1275" s="10" t="str">
        <f t="shared" ref="D1275:D1305" si="351">IF(E1275="","",D1274+1)</f>
        <v/>
      </c>
      <c r="E1275" s="11"/>
      <c r="F1275" s="24"/>
      <c r="G1275" s="11"/>
      <c r="H1275" s="12"/>
      <c r="I1275" s="77">
        <f t="shared" si="348"/>
        <v>0</v>
      </c>
      <c r="J1275" s="16" t="str">
        <f t="shared" si="349"/>
        <v/>
      </c>
      <c r="K1275" s="293"/>
      <c r="L1275" s="16"/>
      <c r="M1275" s="16"/>
      <c r="N1275" s="16"/>
      <c r="O1275" s="11"/>
      <c r="Q1275" s="78">
        <f t="shared" si="350"/>
        <v>0</v>
      </c>
      <c r="R1275" s="178"/>
      <c r="S1275" s="178"/>
      <c r="T1275" s="178"/>
      <c r="U1275" s="178"/>
      <c r="V1275" s="178"/>
      <c r="W1275" s="178"/>
      <c r="X1275" s="178"/>
      <c r="Y1275" s="178"/>
      <c r="Z1275" s="178"/>
      <c r="AA1275" s="178"/>
      <c r="AB1275" s="178"/>
      <c r="AC1275" s="178"/>
    </row>
    <row r="1276" spans="1:29" x14ac:dyDescent="0.3">
      <c r="A1276" s="5" t="s">
        <v>1212</v>
      </c>
      <c r="D1276" s="10" t="str">
        <f t="shared" si="351"/>
        <v/>
      </c>
      <c r="E1276" s="11"/>
      <c r="F1276" s="24"/>
      <c r="G1276" s="11"/>
      <c r="H1276" s="12"/>
      <c r="I1276" s="77">
        <f t="shared" si="348"/>
        <v>0</v>
      </c>
      <c r="J1276" s="16" t="str">
        <f t="shared" si="349"/>
        <v/>
      </c>
      <c r="K1276" s="293"/>
      <c r="L1276" s="16"/>
      <c r="M1276" s="16"/>
      <c r="N1276" s="16"/>
      <c r="O1276" s="11"/>
      <c r="Q1276" s="78">
        <f t="shared" si="350"/>
        <v>0</v>
      </c>
      <c r="R1276" s="178"/>
      <c r="S1276" s="178"/>
      <c r="T1276" s="178"/>
      <c r="U1276" s="178"/>
      <c r="V1276" s="178"/>
      <c r="W1276" s="178"/>
      <c r="X1276" s="178"/>
      <c r="Y1276" s="178"/>
      <c r="Z1276" s="178"/>
      <c r="AA1276" s="178"/>
      <c r="AB1276" s="178"/>
      <c r="AC1276" s="178"/>
    </row>
    <row r="1277" spans="1:29" x14ac:dyDescent="0.3">
      <c r="A1277" s="5" t="s">
        <v>1212</v>
      </c>
      <c r="D1277" s="10" t="str">
        <f t="shared" si="351"/>
        <v/>
      </c>
      <c r="E1277" s="11"/>
      <c r="F1277" s="24"/>
      <c r="G1277" s="11"/>
      <c r="H1277" s="12"/>
      <c r="I1277" s="77">
        <f t="shared" si="348"/>
        <v>0</v>
      </c>
      <c r="J1277" s="16" t="str">
        <f t="shared" si="349"/>
        <v/>
      </c>
      <c r="K1277" s="293"/>
      <c r="L1277" s="16"/>
      <c r="M1277" s="16"/>
      <c r="N1277" s="16"/>
      <c r="O1277" s="11"/>
      <c r="Q1277" s="78">
        <f t="shared" si="350"/>
        <v>0</v>
      </c>
      <c r="R1277" s="178"/>
      <c r="S1277" s="178"/>
      <c r="T1277" s="178"/>
      <c r="U1277" s="178"/>
      <c r="V1277" s="178"/>
      <c r="W1277" s="178"/>
      <c r="X1277" s="178"/>
      <c r="Y1277" s="178"/>
      <c r="Z1277" s="178"/>
      <c r="AA1277" s="178"/>
      <c r="AB1277" s="178"/>
      <c r="AC1277" s="178"/>
    </row>
    <row r="1278" spans="1:29" x14ac:dyDescent="0.3">
      <c r="A1278" s="5" t="s">
        <v>1212</v>
      </c>
      <c r="D1278" s="10" t="str">
        <f t="shared" si="351"/>
        <v/>
      </c>
      <c r="E1278" s="11"/>
      <c r="F1278" s="24"/>
      <c r="G1278" s="11"/>
      <c r="H1278" s="12"/>
      <c r="I1278" s="77">
        <f t="shared" si="348"/>
        <v>0</v>
      </c>
      <c r="J1278" s="16" t="str">
        <f t="shared" si="349"/>
        <v/>
      </c>
      <c r="K1278" s="293"/>
      <c r="L1278" s="16"/>
      <c r="M1278" s="16"/>
      <c r="N1278" s="16"/>
      <c r="O1278" s="11"/>
      <c r="Q1278" s="78">
        <f t="shared" si="350"/>
        <v>0</v>
      </c>
      <c r="R1278" s="178"/>
      <c r="S1278" s="178"/>
      <c r="T1278" s="178"/>
      <c r="U1278" s="178"/>
      <c r="V1278" s="178"/>
      <c r="W1278" s="178"/>
      <c r="X1278" s="178"/>
      <c r="Y1278" s="178"/>
      <c r="Z1278" s="178"/>
      <c r="AA1278" s="178"/>
      <c r="AB1278" s="178"/>
      <c r="AC1278" s="178"/>
    </row>
    <row r="1279" spans="1:29" x14ac:dyDescent="0.3">
      <c r="A1279" s="5" t="s">
        <v>1212</v>
      </c>
      <c r="D1279" s="10" t="str">
        <f t="shared" si="351"/>
        <v/>
      </c>
      <c r="E1279" s="11"/>
      <c r="F1279" s="24"/>
      <c r="G1279" s="11"/>
      <c r="H1279" s="12"/>
      <c r="I1279" s="77">
        <f t="shared" si="348"/>
        <v>0</v>
      </c>
      <c r="J1279" s="16" t="str">
        <f t="shared" si="349"/>
        <v/>
      </c>
      <c r="K1279" s="293"/>
      <c r="L1279" s="16"/>
      <c r="M1279" s="16"/>
      <c r="N1279" s="16"/>
      <c r="O1279" s="11"/>
      <c r="Q1279" s="78">
        <f t="shared" si="350"/>
        <v>0</v>
      </c>
      <c r="R1279" s="178"/>
      <c r="S1279" s="178"/>
      <c r="T1279" s="178"/>
      <c r="U1279" s="178"/>
      <c r="V1279" s="178"/>
      <c r="W1279" s="178"/>
      <c r="X1279" s="178"/>
      <c r="Y1279" s="178"/>
      <c r="Z1279" s="178"/>
      <c r="AA1279" s="178"/>
      <c r="AB1279" s="178"/>
      <c r="AC1279" s="178"/>
    </row>
    <row r="1280" spans="1:29" x14ac:dyDescent="0.3">
      <c r="A1280" s="5" t="s">
        <v>1212</v>
      </c>
      <c r="D1280" s="10" t="str">
        <f t="shared" si="351"/>
        <v/>
      </c>
      <c r="E1280" s="11"/>
      <c r="F1280" s="24"/>
      <c r="G1280" s="11"/>
      <c r="H1280" s="12"/>
      <c r="I1280" s="77">
        <f t="shared" si="348"/>
        <v>0</v>
      </c>
      <c r="J1280" s="16" t="str">
        <f t="shared" si="349"/>
        <v/>
      </c>
      <c r="K1280" s="293"/>
      <c r="L1280" s="16"/>
      <c r="M1280" s="16"/>
      <c r="N1280" s="16"/>
      <c r="O1280" s="11"/>
      <c r="Q1280" s="78">
        <f t="shared" si="350"/>
        <v>0</v>
      </c>
      <c r="R1280" s="178"/>
      <c r="S1280" s="178"/>
      <c r="T1280" s="178"/>
      <c r="U1280" s="178"/>
      <c r="V1280" s="178"/>
      <c r="W1280" s="178"/>
      <c r="X1280" s="178"/>
      <c r="Y1280" s="178"/>
      <c r="Z1280" s="178"/>
      <c r="AA1280" s="178"/>
      <c r="AB1280" s="178"/>
      <c r="AC1280" s="178"/>
    </row>
    <row r="1281" spans="1:29" x14ac:dyDescent="0.3">
      <c r="A1281" s="5" t="s">
        <v>1212</v>
      </c>
      <c r="D1281" s="10" t="str">
        <f t="shared" si="351"/>
        <v/>
      </c>
      <c r="E1281" s="11"/>
      <c r="F1281" s="24"/>
      <c r="G1281" s="11"/>
      <c r="H1281" s="12"/>
      <c r="I1281" s="77">
        <f t="shared" si="348"/>
        <v>0</v>
      </c>
      <c r="J1281" s="16" t="str">
        <f t="shared" si="349"/>
        <v/>
      </c>
      <c r="K1281" s="293"/>
      <c r="L1281" s="16"/>
      <c r="M1281" s="16"/>
      <c r="N1281" s="16"/>
      <c r="O1281" s="11"/>
      <c r="Q1281" s="78">
        <f t="shared" si="350"/>
        <v>0</v>
      </c>
      <c r="R1281" s="178"/>
      <c r="S1281" s="178"/>
      <c r="T1281" s="178"/>
      <c r="U1281" s="178"/>
      <c r="V1281" s="178"/>
      <c r="W1281" s="178"/>
      <c r="X1281" s="178"/>
      <c r="Y1281" s="178"/>
      <c r="Z1281" s="178"/>
      <c r="AA1281" s="178"/>
      <c r="AB1281" s="178"/>
      <c r="AC1281" s="178"/>
    </row>
    <row r="1282" spans="1:29" x14ac:dyDescent="0.3">
      <c r="A1282" s="5" t="s">
        <v>1212</v>
      </c>
      <c r="D1282" s="10" t="str">
        <f t="shared" si="351"/>
        <v/>
      </c>
      <c r="E1282" s="11"/>
      <c r="F1282" s="24"/>
      <c r="G1282" s="11"/>
      <c r="H1282" s="12"/>
      <c r="I1282" s="77">
        <f t="shared" si="348"/>
        <v>0</v>
      </c>
      <c r="J1282" s="16" t="str">
        <f t="shared" si="349"/>
        <v/>
      </c>
      <c r="K1282" s="293"/>
      <c r="L1282" s="16"/>
      <c r="M1282" s="16"/>
      <c r="N1282" s="16"/>
      <c r="O1282" s="11"/>
      <c r="Q1282" s="78">
        <f t="shared" si="350"/>
        <v>0</v>
      </c>
      <c r="R1282" s="178"/>
      <c r="S1282" s="178"/>
      <c r="T1282" s="178"/>
      <c r="U1282" s="178"/>
      <c r="V1282" s="178"/>
      <c r="W1282" s="178"/>
      <c r="X1282" s="178"/>
      <c r="Y1282" s="178"/>
      <c r="Z1282" s="178"/>
      <c r="AA1282" s="178"/>
      <c r="AB1282" s="178"/>
      <c r="AC1282" s="178"/>
    </row>
    <row r="1283" spans="1:29" x14ac:dyDescent="0.3">
      <c r="A1283" s="5" t="s">
        <v>1212</v>
      </c>
      <c r="D1283" s="10" t="str">
        <f t="shared" si="351"/>
        <v/>
      </c>
      <c r="E1283" s="11"/>
      <c r="F1283" s="24"/>
      <c r="G1283" s="11"/>
      <c r="H1283" s="12"/>
      <c r="I1283" s="77">
        <f t="shared" si="348"/>
        <v>0</v>
      </c>
      <c r="J1283" s="16" t="str">
        <f t="shared" si="349"/>
        <v/>
      </c>
      <c r="K1283" s="293"/>
      <c r="L1283" s="16"/>
      <c r="M1283" s="16"/>
      <c r="N1283" s="16"/>
      <c r="O1283" s="13"/>
      <c r="Q1283" s="78">
        <f t="shared" si="350"/>
        <v>0</v>
      </c>
      <c r="R1283" s="178"/>
      <c r="S1283" s="178"/>
      <c r="T1283" s="178"/>
      <c r="U1283" s="178"/>
      <c r="V1283" s="178"/>
      <c r="W1283" s="178"/>
      <c r="X1283" s="178"/>
      <c r="Y1283" s="178"/>
      <c r="Z1283" s="178"/>
      <c r="AA1283" s="178"/>
      <c r="AB1283" s="178"/>
      <c r="AC1283" s="178"/>
    </row>
    <row r="1284" spans="1:29" x14ac:dyDescent="0.3">
      <c r="A1284" s="5" t="s">
        <v>1212</v>
      </c>
      <c r="D1284" s="10" t="str">
        <f t="shared" si="351"/>
        <v/>
      </c>
      <c r="E1284" s="11"/>
      <c r="F1284" s="24"/>
      <c r="G1284" s="11"/>
      <c r="H1284" s="12"/>
      <c r="I1284" s="77">
        <f t="shared" si="348"/>
        <v>0</v>
      </c>
      <c r="J1284" s="16" t="str">
        <f t="shared" si="349"/>
        <v/>
      </c>
      <c r="K1284" s="293"/>
      <c r="L1284" s="16"/>
      <c r="M1284" s="16"/>
      <c r="N1284" s="16"/>
      <c r="O1284" s="11"/>
      <c r="Q1284" s="78">
        <f t="shared" si="350"/>
        <v>0</v>
      </c>
      <c r="R1284" s="178"/>
      <c r="S1284" s="178"/>
      <c r="T1284" s="178"/>
      <c r="U1284" s="178"/>
      <c r="V1284" s="178"/>
      <c r="W1284" s="178"/>
      <c r="X1284" s="178"/>
      <c r="Y1284" s="178"/>
      <c r="Z1284" s="178"/>
      <c r="AA1284" s="178"/>
      <c r="AB1284" s="178"/>
      <c r="AC1284" s="178"/>
    </row>
    <row r="1285" spans="1:29" x14ac:dyDescent="0.3">
      <c r="A1285" s="5" t="s">
        <v>1212</v>
      </c>
      <c r="D1285" s="10" t="str">
        <f t="shared" si="351"/>
        <v/>
      </c>
      <c r="E1285" s="11"/>
      <c r="F1285" s="24"/>
      <c r="G1285" s="11"/>
      <c r="H1285" s="12"/>
      <c r="I1285" s="77">
        <f t="shared" si="348"/>
        <v>0</v>
      </c>
      <c r="J1285" s="16" t="str">
        <f t="shared" si="349"/>
        <v/>
      </c>
      <c r="K1285" s="293"/>
      <c r="L1285" s="16"/>
      <c r="M1285" s="16"/>
      <c r="N1285" s="16"/>
      <c r="O1285" s="11"/>
      <c r="Q1285" s="78">
        <f t="shared" si="350"/>
        <v>0</v>
      </c>
      <c r="R1285" s="178"/>
      <c r="S1285" s="178"/>
      <c r="T1285" s="178"/>
      <c r="U1285" s="178"/>
      <c r="V1285" s="178"/>
      <c r="W1285" s="178"/>
      <c r="X1285" s="178"/>
      <c r="Y1285" s="178"/>
      <c r="Z1285" s="178"/>
      <c r="AA1285" s="178"/>
      <c r="AB1285" s="178"/>
      <c r="AC1285" s="178"/>
    </row>
    <row r="1286" spans="1:29" x14ac:dyDescent="0.3">
      <c r="A1286" s="5" t="s">
        <v>1212</v>
      </c>
      <c r="D1286" s="10" t="str">
        <f t="shared" si="351"/>
        <v/>
      </c>
      <c r="E1286" s="11"/>
      <c r="F1286" s="24"/>
      <c r="G1286" s="11"/>
      <c r="H1286" s="12"/>
      <c r="I1286" s="77">
        <f t="shared" si="348"/>
        <v>0</v>
      </c>
      <c r="J1286" s="16" t="str">
        <f t="shared" si="349"/>
        <v/>
      </c>
      <c r="K1286" s="293"/>
      <c r="L1286" s="16"/>
      <c r="M1286" s="16"/>
      <c r="N1286" s="16"/>
      <c r="O1286" s="11"/>
      <c r="Q1286" s="78">
        <f t="shared" si="350"/>
        <v>0</v>
      </c>
      <c r="R1286" s="178"/>
      <c r="S1286" s="178"/>
      <c r="T1286" s="178"/>
      <c r="U1286" s="178"/>
      <c r="V1286" s="178"/>
      <c r="W1286" s="178"/>
      <c r="X1286" s="178"/>
      <c r="Y1286" s="178"/>
      <c r="Z1286" s="178"/>
      <c r="AA1286" s="178"/>
      <c r="AB1286" s="178"/>
      <c r="AC1286" s="178"/>
    </row>
    <row r="1287" spans="1:29" x14ac:dyDescent="0.3">
      <c r="A1287" s="5" t="s">
        <v>1212</v>
      </c>
      <c r="D1287" s="10" t="str">
        <f t="shared" si="351"/>
        <v/>
      </c>
      <c r="E1287" s="11"/>
      <c r="F1287" s="24"/>
      <c r="G1287" s="11"/>
      <c r="H1287" s="12"/>
      <c r="I1287" s="77"/>
      <c r="J1287" s="16"/>
      <c r="K1287" s="293"/>
      <c r="L1287" s="16"/>
      <c r="M1287" s="16"/>
      <c r="N1287" s="16"/>
      <c r="O1287" s="11"/>
      <c r="R1287" s="179"/>
      <c r="S1287" s="179"/>
      <c r="T1287" s="179"/>
      <c r="U1287" s="179"/>
      <c r="V1287" s="179"/>
      <c r="W1287" s="179"/>
      <c r="X1287" s="179"/>
      <c r="Y1287" s="179"/>
      <c r="Z1287" s="179"/>
      <c r="AA1287" s="179"/>
      <c r="AB1287" s="179"/>
      <c r="AC1287" s="179"/>
    </row>
    <row r="1288" spans="1:29" x14ac:dyDescent="0.3">
      <c r="A1288" s="5" t="s">
        <v>1212</v>
      </c>
      <c r="D1288" s="10" t="str">
        <f t="shared" si="351"/>
        <v/>
      </c>
      <c r="E1288" s="11"/>
      <c r="F1288" s="24"/>
      <c r="G1288" s="11"/>
      <c r="H1288" s="12"/>
      <c r="I1288" s="77"/>
      <c r="J1288" s="16"/>
      <c r="K1288" s="293"/>
      <c r="L1288" s="16"/>
      <c r="M1288" s="16"/>
      <c r="N1288" s="16"/>
      <c r="O1288" s="11"/>
    </row>
    <row r="1289" spans="1:29" x14ac:dyDescent="0.3">
      <c r="A1289" s="5" t="s">
        <v>1212</v>
      </c>
      <c r="D1289" s="10" t="str">
        <f t="shared" si="351"/>
        <v/>
      </c>
      <c r="E1289" s="11"/>
      <c r="F1289" s="24"/>
      <c r="G1289" s="11"/>
      <c r="H1289" s="12"/>
      <c r="I1289" s="77"/>
      <c r="J1289" s="16"/>
      <c r="K1289" s="293"/>
      <c r="L1289" s="16"/>
      <c r="M1289" s="16"/>
      <c r="N1289" s="16"/>
      <c r="O1289" s="11"/>
    </row>
    <row r="1290" spans="1:29" x14ac:dyDescent="0.3">
      <c r="A1290" s="5" t="s">
        <v>1212</v>
      </c>
      <c r="D1290" s="10" t="str">
        <f t="shared" si="351"/>
        <v/>
      </c>
      <c r="E1290" s="11"/>
      <c r="F1290" s="24"/>
      <c r="G1290" s="11"/>
      <c r="H1290" s="12"/>
      <c r="I1290" s="77"/>
      <c r="J1290" s="16"/>
      <c r="K1290" s="293"/>
      <c r="L1290" s="16"/>
      <c r="M1290" s="16"/>
      <c r="N1290" s="16"/>
      <c r="O1290" s="11"/>
    </row>
    <row r="1291" spans="1:29" x14ac:dyDescent="0.3">
      <c r="A1291" s="5" t="s">
        <v>1212</v>
      </c>
      <c r="D1291" s="10" t="str">
        <f t="shared" si="351"/>
        <v/>
      </c>
      <c r="E1291" s="11"/>
      <c r="F1291" s="24"/>
      <c r="G1291" s="11"/>
      <c r="H1291" s="12"/>
      <c r="I1291" s="77"/>
      <c r="J1291" s="16"/>
      <c r="K1291" s="293"/>
      <c r="L1291" s="16"/>
      <c r="M1291" s="16"/>
      <c r="N1291" s="16"/>
      <c r="O1291" s="11"/>
    </row>
    <row r="1292" spans="1:29" x14ac:dyDescent="0.3">
      <c r="A1292" s="5" t="s">
        <v>1212</v>
      </c>
      <c r="D1292" s="10" t="str">
        <f t="shared" si="351"/>
        <v/>
      </c>
      <c r="E1292" s="11"/>
      <c r="F1292" s="24"/>
      <c r="G1292" s="11"/>
      <c r="H1292" s="12"/>
      <c r="I1292" s="77"/>
      <c r="J1292" s="16"/>
      <c r="K1292" s="293"/>
      <c r="L1292" s="16"/>
      <c r="M1292" s="16"/>
      <c r="N1292" s="16"/>
      <c r="O1292" s="11"/>
    </row>
    <row r="1293" spans="1:29" x14ac:dyDescent="0.3">
      <c r="A1293" s="5" t="s">
        <v>1212</v>
      </c>
      <c r="D1293" s="10" t="str">
        <f t="shared" si="351"/>
        <v/>
      </c>
      <c r="E1293" s="11"/>
      <c r="F1293" s="24"/>
      <c r="G1293" s="11"/>
      <c r="H1293" s="12"/>
      <c r="I1293" s="77"/>
      <c r="J1293" s="16"/>
      <c r="K1293" s="293"/>
      <c r="L1293" s="16"/>
      <c r="M1293" s="16"/>
      <c r="N1293" s="16"/>
      <c r="O1293" s="11"/>
    </row>
    <row r="1294" spans="1:29" x14ac:dyDescent="0.3">
      <c r="A1294" s="5" t="s">
        <v>1212</v>
      </c>
      <c r="D1294" s="24" t="str">
        <f t="shared" si="351"/>
        <v/>
      </c>
      <c r="E1294" s="11"/>
      <c r="F1294" s="10"/>
      <c r="G1294" s="21"/>
      <c r="H1294" s="12"/>
      <c r="I1294" s="13"/>
      <c r="J1294" s="49"/>
      <c r="K1294" s="306"/>
      <c r="L1294" s="49"/>
      <c r="M1294" s="49"/>
      <c r="N1294" s="49"/>
      <c r="O1294" s="11"/>
    </row>
    <row r="1295" spans="1:29" x14ac:dyDescent="0.3">
      <c r="A1295" s="5" t="s">
        <v>1212</v>
      </c>
      <c r="D1295" s="24" t="str">
        <f t="shared" si="351"/>
        <v/>
      </c>
      <c r="E1295" s="11"/>
      <c r="F1295" s="10"/>
      <c r="G1295" s="11"/>
      <c r="H1295" s="12"/>
      <c r="I1295" s="13"/>
      <c r="J1295" s="49"/>
      <c r="K1295" s="306"/>
      <c r="L1295" s="49"/>
      <c r="M1295" s="49"/>
      <c r="N1295" s="49"/>
      <c r="O1295" s="11"/>
    </row>
    <row r="1296" spans="1:29" x14ac:dyDescent="0.3">
      <c r="A1296" s="5" t="s">
        <v>1212</v>
      </c>
      <c r="D1296" s="24" t="str">
        <f t="shared" si="351"/>
        <v/>
      </c>
      <c r="E1296" s="11"/>
      <c r="F1296" s="10"/>
      <c r="G1296" s="11"/>
      <c r="H1296" s="12"/>
      <c r="I1296" s="13"/>
      <c r="J1296" s="14"/>
      <c r="K1296" s="292"/>
      <c r="L1296" s="14"/>
      <c r="M1296" s="14"/>
      <c r="N1296" s="14"/>
      <c r="O1296" s="11"/>
    </row>
    <row r="1297" spans="1:15" x14ac:dyDescent="0.3">
      <c r="A1297" s="5" t="s">
        <v>1212</v>
      </c>
      <c r="D1297" s="24" t="str">
        <f t="shared" si="351"/>
        <v/>
      </c>
      <c r="E1297" s="36"/>
      <c r="F1297" s="10"/>
      <c r="G1297" s="11"/>
      <c r="H1297" s="12"/>
      <c r="I1297" s="13"/>
      <c r="J1297" s="49"/>
      <c r="K1297" s="306"/>
      <c r="L1297" s="49"/>
      <c r="M1297" s="49"/>
      <c r="N1297" s="49"/>
      <c r="O1297" s="11"/>
    </row>
    <row r="1298" spans="1:15" x14ac:dyDescent="0.3">
      <c r="A1298" s="5" t="s">
        <v>1212</v>
      </c>
      <c r="D1298" s="24" t="str">
        <f t="shared" si="351"/>
        <v/>
      </c>
      <c r="E1298" s="33"/>
      <c r="F1298" s="10"/>
      <c r="G1298" s="11"/>
      <c r="H1298" s="12"/>
      <c r="I1298" s="11"/>
      <c r="J1298" s="49"/>
      <c r="K1298" s="306"/>
      <c r="L1298" s="49"/>
      <c r="M1298" s="49"/>
      <c r="N1298" s="49"/>
      <c r="O1298" s="11"/>
    </row>
    <row r="1299" spans="1:15" x14ac:dyDescent="0.3">
      <c r="A1299" s="5" t="s">
        <v>1212</v>
      </c>
      <c r="D1299" s="24" t="str">
        <f t="shared" si="351"/>
        <v/>
      </c>
      <c r="E1299" s="36"/>
      <c r="F1299" s="10"/>
      <c r="G1299" s="11"/>
      <c r="H1299" s="12"/>
      <c r="I1299" s="13"/>
      <c r="J1299" s="49"/>
      <c r="K1299" s="306"/>
      <c r="L1299" s="49"/>
      <c r="M1299" s="49"/>
      <c r="N1299" s="49"/>
      <c r="O1299" s="11"/>
    </row>
    <row r="1300" spans="1:15" x14ac:dyDescent="0.3">
      <c r="A1300" s="5" t="s">
        <v>1212</v>
      </c>
      <c r="D1300" s="24" t="str">
        <f t="shared" si="351"/>
        <v/>
      </c>
      <c r="E1300" s="36"/>
      <c r="F1300" s="10"/>
      <c r="G1300" s="34"/>
      <c r="H1300" s="12"/>
      <c r="I1300" s="13"/>
      <c r="J1300" s="49"/>
      <c r="K1300" s="306"/>
      <c r="L1300" s="49"/>
      <c r="M1300" s="49"/>
      <c r="N1300" s="49"/>
      <c r="O1300" s="11"/>
    </row>
    <row r="1301" spans="1:15" x14ac:dyDescent="0.3">
      <c r="A1301" s="5" t="s">
        <v>1212</v>
      </c>
      <c r="D1301" s="24" t="str">
        <f t="shared" si="351"/>
        <v/>
      </c>
      <c r="E1301" s="36"/>
      <c r="F1301" s="10"/>
      <c r="G1301" s="35"/>
      <c r="H1301" s="12"/>
      <c r="I1301" s="13"/>
      <c r="J1301" s="49"/>
      <c r="K1301" s="306"/>
      <c r="L1301" s="49"/>
      <c r="M1301" s="49"/>
      <c r="N1301" s="49"/>
      <c r="O1301" s="11"/>
    </row>
    <row r="1302" spans="1:15" x14ac:dyDescent="0.3">
      <c r="A1302" s="5" t="s">
        <v>1212</v>
      </c>
      <c r="D1302" s="24" t="str">
        <f t="shared" si="351"/>
        <v/>
      </c>
      <c r="E1302" s="39"/>
      <c r="F1302" s="10"/>
      <c r="G1302" s="11"/>
      <c r="H1302" s="12"/>
      <c r="I1302" s="13"/>
      <c r="J1302" s="14"/>
      <c r="K1302" s="292"/>
      <c r="L1302" s="14"/>
      <c r="M1302" s="14"/>
      <c r="N1302" s="14"/>
      <c r="O1302" s="11"/>
    </row>
    <row r="1303" spans="1:15" x14ac:dyDescent="0.3">
      <c r="A1303" s="5" t="s">
        <v>1212</v>
      </c>
      <c r="D1303" s="24" t="str">
        <f t="shared" si="351"/>
        <v/>
      </c>
      <c r="E1303" s="50"/>
      <c r="F1303" s="10"/>
      <c r="G1303" s="11"/>
      <c r="H1303" s="12"/>
      <c r="I1303" s="11"/>
      <c r="J1303" s="14"/>
      <c r="K1303" s="292"/>
      <c r="L1303" s="14"/>
      <c r="M1303" s="14"/>
      <c r="N1303" s="14"/>
      <c r="O1303" s="11"/>
    </row>
    <row r="1304" spans="1:15" x14ac:dyDescent="0.3">
      <c r="A1304" s="5" t="s">
        <v>1212</v>
      </c>
      <c r="D1304" s="24" t="str">
        <f t="shared" si="351"/>
        <v/>
      </c>
      <c r="E1304" s="25"/>
      <c r="F1304" s="10"/>
      <c r="G1304" s="11"/>
      <c r="H1304" s="12"/>
      <c r="I1304" s="11"/>
      <c r="J1304" s="14"/>
      <c r="K1304" s="292"/>
      <c r="L1304" s="14"/>
      <c r="M1304" s="14"/>
      <c r="N1304" s="14"/>
      <c r="O1304" s="11"/>
    </row>
    <row r="1305" spans="1:15" x14ac:dyDescent="0.3">
      <c r="A1305" s="5" t="s">
        <v>1212</v>
      </c>
      <c r="D1305" s="24" t="str">
        <f t="shared" si="351"/>
        <v/>
      </c>
      <c r="E1305" s="36"/>
      <c r="F1305" s="10"/>
      <c r="G1305" s="21"/>
      <c r="H1305" s="12"/>
      <c r="I1305" s="16"/>
      <c r="J1305" s="49"/>
      <c r="K1305" s="306"/>
      <c r="L1305" s="49"/>
      <c r="M1305" s="49"/>
      <c r="N1305" s="49"/>
      <c r="O1305" s="11"/>
    </row>
    <row r="1306" spans="1:15" x14ac:dyDescent="0.3">
      <c r="A1306" s="5" t="s">
        <v>1212</v>
      </c>
      <c r="D1306" s="10"/>
      <c r="E1306" s="36"/>
      <c r="F1306" s="10"/>
      <c r="G1306" s="21"/>
      <c r="H1306" s="12"/>
      <c r="I1306" s="16"/>
      <c r="J1306" s="49"/>
      <c r="K1306" s="306"/>
      <c r="L1306" s="49"/>
      <c r="M1306" s="49"/>
      <c r="N1306" s="49"/>
      <c r="O1306" s="11"/>
    </row>
    <row r="1307" spans="1:15" x14ac:dyDescent="0.3">
      <c r="A1307" s="5" t="s">
        <v>1212</v>
      </c>
      <c r="D1307" s="10"/>
      <c r="E1307" s="36"/>
      <c r="F1307" s="10"/>
      <c r="G1307" s="21"/>
      <c r="H1307" s="12"/>
      <c r="I1307" s="16"/>
      <c r="J1307" s="49"/>
      <c r="K1307" s="306"/>
      <c r="L1307" s="49"/>
      <c r="M1307" s="49"/>
      <c r="N1307" s="49"/>
      <c r="O1307" s="11"/>
    </row>
    <row r="1308" spans="1:15" x14ac:dyDescent="0.3">
      <c r="A1308" s="5" t="s">
        <v>1212</v>
      </c>
      <c r="D1308" s="10"/>
      <c r="E1308" s="36"/>
      <c r="F1308" s="10"/>
      <c r="G1308" s="21"/>
      <c r="H1308" s="12"/>
      <c r="I1308" s="16"/>
      <c r="J1308" s="49"/>
      <c r="K1308" s="306"/>
      <c r="L1308" s="49"/>
      <c r="M1308" s="49"/>
      <c r="N1308" s="49"/>
      <c r="O1308" s="11"/>
    </row>
    <row r="1309" spans="1:15" x14ac:dyDescent="0.3">
      <c r="A1309" s="5" t="s">
        <v>1212</v>
      </c>
      <c r="D1309" s="10"/>
      <c r="E1309" s="39"/>
      <c r="F1309" s="10"/>
      <c r="G1309" s="11"/>
      <c r="H1309" s="12"/>
      <c r="I1309" s="11"/>
      <c r="J1309" s="14"/>
      <c r="K1309" s="292"/>
      <c r="L1309" s="14"/>
      <c r="M1309" s="14"/>
      <c r="N1309" s="14"/>
      <c r="O1309" s="11"/>
    </row>
    <row r="1310" spans="1:15" x14ac:dyDescent="0.3">
      <c r="A1310" s="5" t="s">
        <v>1212</v>
      </c>
      <c r="D1310" s="10"/>
      <c r="E1310" s="36"/>
      <c r="F1310" s="10"/>
      <c r="G1310" s="11"/>
      <c r="H1310" s="12"/>
      <c r="I1310" s="11"/>
      <c r="J1310" s="14"/>
      <c r="K1310" s="292"/>
      <c r="L1310" s="14"/>
      <c r="M1310" s="14"/>
      <c r="N1310" s="14"/>
      <c r="O1310" s="11"/>
    </row>
    <row r="1311" spans="1:15" x14ac:dyDescent="0.3">
      <c r="A1311" s="5" t="s">
        <v>1212</v>
      </c>
    </row>
    <row r="1312" spans="1:15" x14ac:dyDescent="0.3">
      <c r="A1312" s="5" t="s">
        <v>1212</v>
      </c>
    </row>
    <row r="1313" spans="1:1" x14ac:dyDescent="0.3">
      <c r="A1313" s="5" t="s">
        <v>1212</v>
      </c>
    </row>
    <row r="1314" spans="1:1" x14ac:dyDescent="0.3">
      <c r="A1314" s="5" t="s">
        <v>1212</v>
      </c>
    </row>
    <row r="1315" spans="1:1" x14ac:dyDescent="0.3">
      <c r="A1315" s="5" t="s">
        <v>1212</v>
      </c>
    </row>
    <row r="1316" spans="1:1" x14ac:dyDescent="0.3">
      <c r="A1316" s="5" t="s">
        <v>1212</v>
      </c>
    </row>
    <row r="1317" spans="1:1" x14ac:dyDescent="0.3">
      <c r="A1317" s="5" t="s">
        <v>1212</v>
      </c>
    </row>
    <row r="1318" spans="1:1" x14ac:dyDescent="0.3">
      <c r="A1318" s="5" t="s">
        <v>1212</v>
      </c>
    </row>
    <row r="1319" spans="1:1" x14ac:dyDescent="0.3">
      <c r="A1319" s="5" t="s">
        <v>1212</v>
      </c>
    </row>
    <row r="1320" spans="1:1" x14ac:dyDescent="0.3">
      <c r="A1320" s="5" t="s">
        <v>1212</v>
      </c>
    </row>
    <row r="1321" spans="1:1" x14ac:dyDescent="0.3">
      <c r="A1321" s="5" t="s">
        <v>1212</v>
      </c>
    </row>
    <row r="1322" spans="1:1" x14ac:dyDescent="0.3">
      <c r="A1322" s="5" t="s">
        <v>1212</v>
      </c>
    </row>
    <row r="1323" spans="1:1" x14ac:dyDescent="0.3">
      <c r="A1323" s="5" t="s">
        <v>1212</v>
      </c>
    </row>
    <row r="1324" spans="1:1" x14ac:dyDescent="0.3">
      <c r="A1324" s="5" t="s">
        <v>1212</v>
      </c>
    </row>
    <row r="1325" spans="1:1" x14ac:dyDescent="0.3">
      <c r="A1325" s="5" t="s">
        <v>1212</v>
      </c>
    </row>
    <row r="1326" spans="1:1" x14ac:dyDescent="0.3">
      <c r="A1326" s="5" t="s">
        <v>1212</v>
      </c>
    </row>
    <row r="1327" spans="1:1" x14ac:dyDescent="0.3">
      <c r="A1327" s="5" t="s">
        <v>1212</v>
      </c>
    </row>
    <row r="1328" spans="1:1" x14ac:dyDescent="0.3">
      <c r="A1328" s="5" t="s">
        <v>1212</v>
      </c>
    </row>
    <row r="1329" spans="1:1" x14ac:dyDescent="0.3">
      <c r="A1329" s="5" t="s">
        <v>1212</v>
      </c>
    </row>
    <row r="1330" spans="1:1" x14ac:dyDescent="0.3">
      <c r="A1330" s="5" t="s">
        <v>1212</v>
      </c>
    </row>
    <row r="1331" spans="1:1" x14ac:dyDescent="0.3">
      <c r="A1331" s="5" t="s">
        <v>1212</v>
      </c>
    </row>
    <row r="1332" spans="1:1" x14ac:dyDescent="0.3">
      <c r="A1332" s="5" t="s">
        <v>1212</v>
      </c>
    </row>
    <row r="1333" spans="1:1" x14ac:dyDescent="0.3">
      <c r="A1333" s="5" t="s">
        <v>1212</v>
      </c>
    </row>
    <row r="1334" spans="1:1" x14ac:dyDescent="0.3">
      <c r="A1334" s="5" t="s">
        <v>1212</v>
      </c>
    </row>
    <row r="1335" spans="1:1" x14ac:dyDescent="0.3">
      <c r="A1335" s="5" t="s">
        <v>1212</v>
      </c>
    </row>
    <row r="1336" spans="1:1" x14ac:dyDescent="0.3">
      <c r="A1336" s="5" t="s">
        <v>1212</v>
      </c>
    </row>
    <row r="1337" spans="1:1" x14ac:dyDescent="0.3">
      <c r="A1337" s="5" t="s">
        <v>1212</v>
      </c>
    </row>
    <row r="1338" spans="1:1" x14ac:dyDescent="0.3">
      <c r="A1338" s="5" t="s">
        <v>1212</v>
      </c>
    </row>
    <row r="1339" spans="1:1" x14ac:dyDescent="0.3">
      <c r="A1339" s="5" t="s">
        <v>1212</v>
      </c>
    </row>
    <row r="1340" spans="1:1" x14ac:dyDescent="0.3">
      <c r="A1340" s="5" t="s">
        <v>1212</v>
      </c>
    </row>
    <row r="1341" spans="1:1" x14ac:dyDescent="0.3">
      <c r="A1341" s="5" t="s">
        <v>1212</v>
      </c>
    </row>
    <row r="1342" spans="1:1" x14ac:dyDescent="0.3">
      <c r="A1342" s="5" t="s">
        <v>1212</v>
      </c>
    </row>
    <row r="1343" spans="1:1" x14ac:dyDescent="0.3">
      <c r="A1343" s="5" t="s">
        <v>1212</v>
      </c>
    </row>
    <row r="1344" spans="1:1" x14ac:dyDescent="0.3">
      <c r="A1344" s="5" t="s">
        <v>1212</v>
      </c>
    </row>
    <row r="1345" spans="1:1" x14ac:dyDescent="0.3">
      <c r="A1345" s="5" t="s">
        <v>1212</v>
      </c>
    </row>
    <row r="1346" spans="1:1" x14ac:dyDescent="0.3">
      <c r="A1346" s="5" t="s">
        <v>1212</v>
      </c>
    </row>
    <row r="1347" spans="1:1" x14ac:dyDescent="0.3">
      <c r="A1347" s="5" t="s">
        <v>1212</v>
      </c>
    </row>
    <row r="1348" spans="1:1" x14ac:dyDescent="0.3">
      <c r="A1348" s="5" t="s">
        <v>1212</v>
      </c>
    </row>
    <row r="1349" spans="1:1" x14ac:dyDescent="0.3">
      <c r="A1349" s="5" t="s">
        <v>1212</v>
      </c>
    </row>
    <row r="1350" spans="1:1" x14ac:dyDescent="0.3">
      <c r="A1350" s="5" t="s">
        <v>1212</v>
      </c>
    </row>
    <row r="1351" spans="1:1" x14ac:dyDescent="0.3">
      <c r="A1351" s="5" t="s">
        <v>1212</v>
      </c>
    </row>
    <row r="1352" spans="1:1" x14ac:dyDescent="0.3">
      <c r="A1352" s="5" t="s">
        <v>1212</v>
      </c>
    </row>
    <row r="1353" spans="1:1" x14ac:dyDescent="0.3">
      <c r="A1353" s="5" t="s">
        <v>1212</v>
      </c>
    </row>
    <row r="1354" spans="1:1" x14ac:dyDescent="0.3">
      <c r="A1354" s="5" t="s">
        <v>1212</v>
      </c>
    </row>
    <row r="1355" spans="1:1" x14ac:dyDescent="0.3">
      <c r="A1355" s="5" t="s">
        <v>1212</v>
      </c>
    </row>
    <row r="1356" spans="1:1" x14ac:dyDescent="0.3">
      <c r="A1356" s="5" t="s">
        <v>1212</v>
      </c>
    </row>
    <row r="1357" spans="1:1" x14ac:dyDescent="0.3">
      <c r="A1357" s="5" t="s">
        <v>1212</v>
      </c>
    </row>
    <row r="1358" spans="1:1" x14ac:dyDescent="0.3">
      <c r="A1358" s="5" t="s">
        <v>1212</v>
      </c>
    </row>
    <row r="1359" spans="1:1" x14ac:dyDescent="0.3">
      <c r="A1359" s="5" t="s">
        <v>1212</v>
      </c>
    </row>
    <row r="1360" spans="1:1" x14ac:dyDescent="0.3">
      <c r="A1360" s="5" t="s">
        <v>1212</v>
      </c>
    </row>
    <row r="1361" spans="1:1" x14ac:dyDescent="0.3">
      <c r="A1361" s="5" t="s">
        <v>1212</v>
      </c>
    </row>
  </sheetData>
  <autoFilter ref="A8:O1361" xr:uid="{56976AA7-ADBD-4ADC-856C-05222FE97BC3}"/>
  <mergeCells count="7">
    <mergeCell ref="Q7:U7"/>
    <mergeCell ref="G7:H7"/>
    <mergeCell ref="G2:H2"/>
    <mergeCell ref="G3:H3"/>
    <mergeCell ref="G4:H4"/>
    <mergeCell ref="G5:H5"/>
    <mergeCell ref="G6:H6"/>
  </mergeCells>
  <phoneticPr fontId="14" type="noConversion"/>
  <dataValidations count="1">
    <dataValidation type="list" allowBlank="1" showInputMessage="1" showErrorMessage="1" sqref="K25:K37 K41:K53 K168:K176 K236:K247 K268:K271 K15:K16 K287:K299 K303:K309 K11:K13 K1202:K1207 K18:K20 K251:K264 K364:K380 K384:K388 K332:K360 K420:K426 K313:K326 K202:K232 K513:K517 K457:K476 K521:K537 K542:K557 K1194:K1198 K572:K580 K431:K453 K1018:K1040 K715:K732 K637:K645 K649:K663 K667:K684 K626:K633 K706:K711 K1082:K1105 K782:K793 K689:K702 K561:K568 K736:K751 K798:K829 K834:K852 K877:K878 K884:K890 K905:K908 K392:K402 K406:K415 K895:K901 K992:K1014 K275:K283 K970:K987 K1109:K1126 K1130:K1154 K1158:K1168 K1172:K1178 K1182:K1190 K497:K508 K98:K140 K934:K966 K1255:K1267 K584:K605 K1212:K1213 K1216:K1217 K1221:K1230 K1233:K1239 K1243:K1245 K1249:K1251 K58:K94 K480:K493 K1068:K1078 K856:K869 K913:K929 K1045:K1064 K609:K621 K180:K198 K143:K164 K755:K778" xr:uid="{B34C0F89-5D19-429F-BC8C-5259F0F143A3}">
      <formula1>"x"</formula1>
    </dataValidation>
  </dataValidations>
  <printOptions horizontalCentered="1"/>
  <pageMargins left="0.7" right="0.7" top="0.75" bottom="0.75" header="0.3" footer="0.3"/>
  <pageSetup scale="47" fitToHeight="0" orientation="portrait" r:id="rId1"/>
  <headerFooter alignWithMargins="0">
    <oddHeader>&amp;A</oddHeader>
    <oddFooter>Page &amp;P of &amp;N</oddFooter>
  </headerFooter>
  <ignoredErrors>
    <ignoredError sqref="D331:D359 D363:D379 D431:D452 D479:D492 D496:D507 D512:D516 D520:D536 D648:D662 D694:D701 D833:D851 D873:D878 D1212 D1216 D1221:D1229 D1233:D1238 D1243:D1244 D1249:D1250 D1255:D1266 D688:D692" twoDigitTextYear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934A-4208-4108-BDA3-C7ADD658344C}">
  <sheetPr codeName="Sheet4"/>
  <dimension ref="A3:J28"/>
  <sheetViews>
    <sheetView view="pageLayout" topLeftCell="A3" zoomScaleNormal="100" workbookViewId="0">
      <selection activeCell="B21" sqref="B21:J21"/>
    </sheetView>
  </sheetViews>
  <sheetFormatPr defaultRowHeight="12.5" x14ac:dyDescent="0.25"/>
  <cols>
    <col min="1" max="1" width="5.36328125" customWidth="1"/>
    <col min="4" max="4" width="6.81640625" customWidth="1"/>
  </cols>
  <sheetData>
    <row r="3" spans="1:10" ht="15.5" x14ac:dyDescent="0.35">
      <c r="E3" s="562" t="s">
        <v>1368</v>
      </c>
      <c r="F3" s="562"/>
      <c r="G3" s="562"/>
      <c r="H3" s="562"/>
    </row>
    <row r="4" spans="1:10" x14ac:dyDescent="0.25">
      <c r="E4" s="560" t="str">
        <f>'Project Info Input'!C8</f>
        <v>Test</v>
      </c>
      <c r="F4" s="561"/>
      <c r="G4" s="561"/>
      <c r="H4" s="561"/>
    </row>
    <row r="5" spans="1:10" x14ac:dyDescent="0.25">
      <c r="E5" s="560" t="str">
        <f>'Project Info Input'!C10</f>
        <v>Test 1</v>
      </c>
      <c r="F5" s="561"/>
      <c r="G5" s="561"/>
      <c r="H5" s="561"/>
    </row>
    <row r="6" spans="1:10" x14ac:dyDescent="0.25">
      <c r="E6" s="560">
        <f>'Project Info Input'!C15</f>
        <v>0</v>
      </c>
      <c r="F6" s="561"/>
      <c r="G6" s="561"/>
      <c r="H6" s="561"/>
    </row>
    <row r="8" spans="1:10" ht="13" x14ac:dyDescent="0.3">
      <c r="A8" s="484" t="s">
        <v>1384</v>
      </c>
      <c r="B8" s="480"/>
    </row>
    <row r="9" spans="1:10" x14ac:dyDescent="0.25">
      <c r="A9">
        <v>1</v>
      </c>
      <c r="B9" s="554" t="s">
        <v>1369</v>
      </c>
      <c r="C9" s="555"/>
      <c r="D9" s="555"/>
      <c r="E9" s="555"/>
      <c r="F9" s="555"/>
      <c r="G9" s="555"/>
      <c r="H9" s="555"/>
      <c r="I9" s="555"/>
      <c r="J9" s="555"/>
    </row>
    <row r="10" spans="1:10" x14ac:dyDescent="0.25">
      <c r="B10" s="481" t="s">
        <v>1370</v>
      </c>
      <c r="C10" s="556" t="s">
        <v>1373</v>
      </c>
      <c r="D10" s="557"/>
      <c r="E10" s="557"/>
      <c r="F10" s="557"/>
      <c r="G10" s="557"/>
      <c r="H10" s="557"/>
      <c r="I10" s="557"/>
      <c r="J10" s="557"/>
    </row>
    <row r="11" spans="1:10" x14ac:dyDescent="0.25">
      <c r="B11" s="481" t="s">
        <v>1371</v>
      </c>
      <c r="C11" s="556" t="s">
        <v>1374</v>
      </c>
      <c r="D11" s="557"/>
      <c r="E11" s="557"/>
      <c r="F11" s="557"/>
      <c r="G11" s="557"/>
      <c r="H11" s="557"/>
      <c r="I11" s="557"/>
      <c r="J11" s="557"/>
    </row>
    <row r="12" spans="1:10" x14ac:dyDescent="0.25">
      <c r="B12" s="481" t="s">
        <v>1372</v>
      </c>
      <c r="C12" s="556" t="s">
        <v>1375</v>
      </c>
      <c r="D12" s="557"/>
      <c r="E12" s="557"/>
      <c r="F12" s="557"/>
      <c r="G12" s="557"/>
      <c r="H12" s="557"/>
      <c r="I12" s="557"/>
      <c r="J12" s="557"/>
    </row>
    <row r="13" spans="1:10" x14ac:dyDescent="0.25">
      <c r="A13">
        <v>2</v>
      </c>
      <c r="B13" s="554" t="s">
        <v>1381</v>
      </c>
      <c r="C13" s="554"/>
      <c r="D13" s="554"/>
      <c r="E13" s="483">
        <f>'Project Info Input'!C25</f>
        <v>0</v>
      </c>
      <c r="F13" s="556" t="s">
        <v>1376</v>
      </c>
      <c r="G13" s="557"/>
      <c r="H13" s="557"/>
      <c r="I13" s="557"/>
      <c r="J13" s="557"/>
    </row>
    <row r="14" spans="1:10" x14ac:dyDescent="0.25">
      <c r="A14">
        <v>3</v>
      </c>
      <c r="B14" s="554" t="s">
        <v>1382</v>
      </c>
      <c r="C14" s="555"/>
      <c r="D14" s="555"/>
      <c r="E14" s="555"/>
      <c r="F14" s="555"/>
      <c r="G14" s="555"/>
      <c r="H14" s="555"/>
      <c r="I14" s="555"/>
      <c r="J14" s="555"/>
    </row>
    <row r="15" spans="1:10" x14ac:dyDescent="0.25">
      <c r="A15">
        <v>4</v>
      </c>
      <c r="B15" s="554" t="s">
        <v>1383</v>
      </c>
      <c r="C15" s="555"/>
      <c r="D15" s="555"/>
      <c r="E15" s="555"/>
      <c r="F15" s="555"/>
      <c r="G15" s="555"/>
      <c r="H15" s="555"/>
      <c r="I15" s="555"/>
      <c r="J15" s="555"/>
    </row>
    <row r="16" spans="1:10" x14ac:dyDescent="0.25">
      <c r="B16" s="558" t="s">
        <v>1377</v>
      </c>
      <c r="C16" s="559"/>
      <c r="D16" s="559"/>
      <c r="E16" s="559"/>
      <c r="F16" s="559"/>
      <c r="G16" s="559"/>
      <c r="H16" s="559"/>
      <c r="I16" s="559"/>
      <c r="J16" s="559"/>
    </row>
    <row r="17" spans="1:10" x14ac:dyDescent="0.25">
      <c r="B17" s="558" t="s">
        <v>1378</v>
      </c>
      <c r="C17" s="559"/>
      <c r="D17" s="559"/>
      <c r="E17" s="559"/>
      <c r="F17" s="559"/>
      <c r="G17" s="559"/>
      <c r="H17" s="559"/>
      <c r="I17" s="559"/>
      <c r="J17" s="559"/>
    </row>
    <row r="18" spans="1:10" x14ac:dyDescent="0.25">
      <c r="B18" s="558" t="s">
        <v>1379</v>
      </c>
      <c r="C18" s="559"/>
      <c r="D18" s="559"/>
      <c r="E18" s="559"/>
      <c r="F18" s="559"/>
      <c r="G18" s="559"/>
      <c r="H18" s="559"/>
      <c r="I18" s="559"/>
      <c r="J18" s="559"/>
    </row>
    <row r="19" spans="1:10" x14ac:dyDescent="0.25">
      <c r="B19" s="558" t="s">
        <v>1380</v>
      </c>
      <c r="C19" s="559"/>
      <c r="D19" s="559"/>
      <c r="E19" s="559"/>
      <c r="F19" s="559"/>
      <c r="G19" s="559"/>
      <c r="H19" s="559"/>
      <c r="I19" s="559"/>
      <c r="J19" s="559"/>
    </row>
    <row r="20" spans="1:10" x14ac:dyDescent="0.25">
      <c r="A20">
        <v>5</v>
      </c>
      <c r="B20" s="554" t="s">
        <v>1385</v>
      </c>
      <c r="C20" s="555"/>
      <c r="D20" s="555"/>
      <c r="E20" s="555"/>
      <c r="F20" s="555"/>
      <c r="G20" s="555"/>
      <c r="H20" s="555"/>
      <c r="I20" s="555"/>
      <c r="J20" s="555"/>
    </row>
    <row r="21" spans="1:10" x14ac:dyDescent="0.25">
      <c r="B21" s="554"/>
      <c r="C21" s="555"/>
      <c r="D21" s="555"/>
      <c r="E21" s="555"/>
      <c r="F21" s="555"/>
      <c r="G21" s="555"/>
      <c r="H21" s="555"/>
      <c r="I21" s="555"/>
      <c r="J21" s="555"/>
    </row>
    <row r="22" spans="1:10" x14ac:dyDescent="0.25">
      <c r="B22" s="554"/>
      <c r="C22" s="555"/>
      <c r="D22" s="555"/>
      <c r="E22" s="555"/>
      <c r="F22" s="555"/>
      <c r="G22" s="555"/>
      <c r="H22" s="555"/>
      <c r="I22" s="555"/>
      <c r="J22" s="555"/>
    </row>
    <row r="23" spans="1:10" x14ac:dyDescent="0.25">
      <c r="B23" s="554"/>
      <c r="C23" s="555"/>
      <c r="D23" s="555"/>
      <c r="E23" s="555"/>
      <c r="F23" s="555"/>
      <c r="G23" s="555"/>
      <c r="H23" s="555"/>
      <c r="I23" s="555"/>
      <c r="J23" s="555"/>
    </row>
    <row r="24" spans="1:10" x14ac:dyDescent="0.25">
      <c r="B24" s="554"/>
      <c r="C24" s="555"/>
      <c r="D24" s="555"/>
      <c r="E24" s="555"/>
      <c r="F24" s="555"/>
      <c r="G24" s="555"/>
      <c r="H24" s="555"/>
      <c r="I24" s="555"/>
      <c r="J24" s="555"/>
    </row>
    <row r="25" spans="1:10" x14ac:dyDescent="0.25">
      <c r="B25" s="554"/>
      <c r="C25" s="555"/>
      <c r="D25" s="555"/>
      <c r="E25" s="555"/>
      <c r="F25" s="555"/>
      <c r="G25" s="555"/>
      <c r="H25" s="555"/>
      <c r="I25" s="555"/>
      <c r="J25" s="555"/>
    </row>
    <row r="26" spans="1:10" x14ac:dyDescent="0.25">
      <c r="B26" s="482"/>
    </row>
    <row r="27" spans="1:10" x14ac:dyDescent="0.25">
      <c r="B27" s="482"/>
    </row>
    <row r="28" spans="1:10" x14ac:dyDescent="0.25">
      <c r="B28" s="482"/>
    </row>
  </sheetData>
  <mergeCells count="22">
    <mergeCell ref="E4:H4"/>
    <mergeCell ref="E3:H3"/>
    <mergeCell ref="E5:H5"/>
    <mergeCell ref="E6:H6"/>
    <mergeCell ref="B9:J9"/>
    <mergeCell ref="C10:J10"/>
    <mergeCell ref="C11:J11"/>
    <mergeCell ref="C12:J12"/>
    <mergeCell ref="B14:J14"/>
    <mergeCell ref="B15:J15"/>
    <mergeCell ref="B22:J22"/>
    <mergeCell ref="B23:J23"/>
    <mergeCell ref="B24:J24"/>
    <mergeCell ref="B25:J25"/>
    <mergeCell ref="B13:D13"/>
    <mergeCell ref="F13:J13"/>
    <mergeCell ref="B16:J16"/>
    <mergeCell ref="B17:J17"/>
    <mergeCell ref="B18:J18"/>
    <mergeCell ref="B19:J19"/>
    <mergeCell ref="B20:J20"/>
    <mergeCell ref="B21:J2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E6E8-6952-4B33-994F-2E5A2082FAEF}">
  <sheetPr codeName="Sheet5"/>
  <dimension ref="B1:S69"/>
  <sheetViews>
    <sheetView topLeftCell="A8" zoomScaleNormal="100" zoomScaleSheetLayoutView="120" workbookViewId="0">
      <selection activeCell="E41" sqref="E41"/>
    </sheetView>
  </sheetViews>
  <sheetFormatPr defaultColWidth="9.1796875" defaultRowHeight="14.5" x14ac:dyDescent="0.35"/>
  <cols>
    <col min="1" max="1" width="4.81640625" style="141" customWidth="1"/>
    <col min="2" max="2" width="28.1796875" style="141" bestFit="1" customWidth="1"/>
    <col min="3" max="3" width="13.36328125" style="141" customWidth="1"/>
    <col min="4" max="4" width="9.1796875" style="141"/>
    <col min="5" max="5" width="10.54296875" style="141" bestFit="1" customWidth="1"/>
    <col min="6" max="6" width="13.1796875" style="141" bestFit="1" customWidth="1"/>
    <col min="7" max="7" width="4.81640625" style="141" customWidth="1"/>
    <col min="8" max="8" width="14.36328125" style="141" customWidth="1"/>
    <col min="9" max="9" width="29.26953125" style="141" bestFit="1" customWidth="1"/>
    <col min="10" max="10" width="9.1796875" style="141" bestFit="1" customWidth="1"/>
    <col min="11" max="11" width="13.1796875" style="141" bestFit="1" customWidth="1"/>
    <col min="12" max="12" width="11.26953125" style="141" bestFit="1" customWidth="1"/>
    <col min="13" max="13" width="9.54296875" style="141" bestFit="1" customWidth="1"/>
    <col min="14" max="14" width="8.54296875" style="141" bestFit="1" customWidth="1"/>
    <col min="15" max="15" width="12.26953125" style="141" bestFit="1" customWidth="1"/>
    <col min="16" max="16384" width="9.1796875" style="141"/>
  </cols>
  <sheetData>
    <row r="1" spans="2:16" ht="15" thickBot="1" x14ac:dyDescent="0.4"/>
    <row r="2" spans="2:16" ht="24" thickBot="1" x14ac:dyDescent="0.6">
      <c r="B2" s="563" t="s">
        <v>1273</v>
      </c>
      <c r="C2" s="564"/>
      <c r="D2" s="564"/>
      <c r="E2" s="564"/>
      <c r="F2" s="565"/>
      <c r="I2" s="566" t="s">
        <v>1272</v>
      </c>
      <c r="J2" s="567"/>
      <c r="K2" s="567"/>
      <c r="L2" s="567"/>
      <c r="M2" s="567"/>
      <c r="N2" s="567"/>
      <c r="O2" s="568"/>
    </row>
    <row r="3" spans="2:16" x14ac:dyDescent="0.35">
      <c r="B3" s="389"/>
      <c r="C3" s="367"/>
      <c r="D3" s="367"/>
      <c r="E3" s="367"/>
      <c r="F3" s="390"/>
      <c r="I3" s="374" t="s">
        <v>897</v>
      </c>
      <c r="J3" s="375" t="s">
        <v>898</v>
      </c>
      <c r="K3" s="409" t="s">
        <v>834</v>
      </c>
      <c r="L3" s="409" t="s">
        <v>899</v>
      </c>
      <c r="M3" s="409" t="s">
        <v>900</v>
      </c>
      <c r="N3" s="375" t="s">
        <v>901</v>
      </c>
      <c r="O3" s="376" t="s">
        <v>902</v>
      </c>
    </row>
    <row r="4" spans="2:16" x14ac:dyDescent="0.35">
      <c r="B4" s="391" t="s">
        <v>826</v>
      </c>
      <c r="C4" s="392" t="str">
        <f>'Project Info Input'!C8</f>
        <v>Test</v>
      </c>
      <c r="D4" s="367"/>
      <c r="E4" s="367"/>
      <c r="F4" s="390"/>
      <c r="I4" s="370" t="s">
        <v>840</v>
      </c>
      <c r="J4" s="377">
        <v>170000</v>
      </c>
      <c r="K4" s="378">
        <f t="shared" ref="K4" si="0">+J4/12</f>
        <v>14166.666666666666</v>
      </c>
      <c r="L4" s="379">
        <f t="shared" ref="L4" si="1">+J4/2080</f>
        <v>81.730769230769226</v>
      </c>
      <c r="M4" s="379">
        <f t="shared" ref="M4" si="2">+L4*1.4</f>
        <v>114.42307692307691</v>
      </c>
      <c r="N4" s="379"/>
      <c r="O4" s="380"/>
      <c r="P4" s="142" t="s">
        <v>827</v>
      </c>
    </row>
    <row r="5" spans="2:16" x14ac:dyDescent="0.35">
      <c r="B5" s="391" t="s">
        <v>828</v>
      </c>
      <c r="C5" s="393">
        <f>'Project Info Input'!C19</f>
        <v>0</v>
      </c>
      <c r="D5" s="367"/>
      <c r="E5" s="367"/>
      <c r="F5" s="390"/>
      <c r="I5" s="370" t="s">
        <v>842</v>
      </c>
      <c r="J5" s="377">
        <v>142000</v>
      </c>
      <c r="K5" s="378">
        <f t="shared" ref="K5:K14" si="3">+J5/12</f>
        <v>11833.333333333334</v>
      </c>
      <c r="L5" s="379">
        <f t="shared" ref="L5:L19" si="4">+J5/2080</f>
        <v>68.269230769230774</v>
      </c>
      <c r="M5" s="379">
        <f t="shared" ref="M5:M19" si="5">+L5*1.4</f>
        <v>95.57692307692308</v>
      </c>
      <c r="N5" s="379">
        <v>125</v>
      </c>
      <c r="O5" s="381">
        <f t="shared" ref="O5:O19" si="6">N5*2080/1.4</f>
        <v>185714.28571428574</v>
      </c>
      <c r="P5" s="142" t="s">
        <v>829</v>
      </c>
    </row>
    <row r="6" spans="2:16" x14ac:dyDescent="0.35">
      <c r="B6" s="391" t="s">
        <v>830</v>
      </c>
      <c r="C6" s="392">
        <f>'Project Info Input'!C25</f>
        <v>0</v>
      </c>
      <c r="D6" s="367"/>
      <c r="E6" s="367"/>
      <c r="F6" s="390"/>
      <c r="I6" s="370" t="s">
        <v>843</v>
      </c>
      <c r="J6" s="377">
        <v>120000</v>
      </c>
      <c r="K6" s="378">
        <f t="shared" si="3"/>
        <v>10000</v>
      </c>
      <c r="L6" s="379">
        <f t="shared" si="4"/>
        <v>57.692307692307693</v>
      </c>
      <c r="M6" s="379">
        <f t="shared" si="5"/>
        <v>80.769230769230759</v>
      </c>
      <c r="N6" s="379">
        <v>105</v>
      </c>
      <c r="O6" s="381">
        <f t="shared" si="6"/>
        <v>156000</v>
      </c>
    </row>
    <row r="7" spans="2:16" x14ac:dyDescent="0.35">
      <c r="B7" s="389"/>
      <c r="C7" s="367"/>
      <c r="D7" s="367"/>
      <c r="E7" s="367"/>
      <c r="F7" s="390"/>
      <c r="I7" s="382" t="s">
        <v>858</v>
      </c>
      <c r="J7" s="377">
        <v>85000</v>
      </c>
      <c r="K7" s="378">
        <f t="shared" si="3"/>
        <v>7083.333333333333</v>
      </c>
      <c r="L7" s="379">
        <f t="shared" si="4"/>
        <v>40.865384615384613</v>
      </c>
      <c r="M7" s="379">
        <f t="shared" si="5"/>
        <v>57.211538461538453</v>
      </c>
      <c r="N7" s="379">
        <v>65</v>
      </c>
      <c r="O7" s="381">
        <f t="shared" si="6"/>
        <v>96571.42857142858</v>
      </c>
    </row>
    <row r="8" spans="2:16" x14ac:dyDescent="0.35">
      <c r="B8" s="394" t="s">
        <v>831</v>
      </c>
      <c r="C8" s="143" t="s">
        <v>832</v>
      </c>
      <c r="D8" s="143" t="s">
        <v>595</v>
      </c>
      <c r="E8" s="143" t="s">
        <v>833</v>
      </c>
      <c r="F8" s="395" t="s">
        <v>834</v>
      </c>
      <c r="I8" s="382" t="s">
        <v>858</v>
      </c>
      <c r="J8" s="377">
        <v>85000</v>
      </c>
      <c r="K8" s="378">
        <f t="shared" si="3"/>
        <v>7083.333333333333</v>
      </c>
      <c r="L8" s="379">
        <f t="shared" si="4"/>
        <v>40.865384615384613</v>
      </c>
      <c r="M8" s="379">
        <f t="shared" si="5"/>
        <v>57.211538461538453</v>
      </c>
      <c r="N8" s="379">
        <v>65</v>
      </c>
      <c r="O8" s="381">
        <f t="shared" si="6"/>
        <v>96571.42857142858</v>
      </c>
    </row>
    <row r="9" spans="2:16" x14ac:dyDescent="0.35">
      <c r="B9" s="391"/>
      <c r="C9" s="144"/>
      <c r="D9" s="367"/>
      <c r="E9" s="144"/>
      <c r="F9" s="390"/>
      <c r="I9" s="370" t="s">
        <v>903</v>
      </c>
      <c r="J9" s="377">
        <v>55000</v>
      </c>
      <c r="K9" s="378">
        <f t="shared" si="3"/>
        <v>4583.333333333333</v>
      </c>
      <c r="L9" s="379">
        <f t="shared" si="4"/>
        <v>26.442307692307693</v>
      </c>
      <c r="M9" s="379">
        <f t="shared" si="5"/>
        <v>37.019230769230766</v>
      </c>
      <c r="N9" s="379"/>
      <c r="O9" s="381">
        <f t="shared" si="6"/>
        <v>0</v>
      </c>
    </row>
    <row r="10" spans="2:16" x14ac:dyDescent="0.35">
      <c r="B10" s="389" t="s">
        <v>835</v>
      </c>
      <c r="C10" s="142" t="b">
        <v>0</v>
      </c>
      <c r="D10" s="396" t="s">
        <v>836</v>
      </c>
      <c r="E10" s="396" t="s">
        <v>836</v>
      </c>
      <c r="F10" s="397">
        <v>1000</v>
      </c>
      <c r="I10" s="370" t="s">
        <v>848</v>
      </c>
      <c r="J10" s="377">
        <v>81000</v>
      </c>
      <c r="K10" s="378">
        <f t="shared" si="3"/>
        <v>6750</v>
      </c>
      <c r="L10" s="379">
        <f t="shared" si="4"/>
        <v>38.942307692307693</v>
      </c>
      <c r="M10" s="379">
        <f t="shared" si="5"/>
        <v>54.519230769230766</v>
      </c>
      <c r="N10" s="379">
        <v>55</v>
      </c>
      <c r="O10" s="381">
        <f t="shared" si="6"/>
        <v>81714.285714285725</v>
      </c>
    </row>
    <row r="11" spans="2:16" x14ac:dyDescent="0.35">
      <c r="B11" s="389" t="s">
        <v>837</v>
      </c>
      <c r="C11" s="142" t="b">
        <v>0</v>
      </c>
      <c r="D11" s="367">
        <f>+$C$6</f>
        <v>0</v>
      </c>
      <c r="E11" s="396" t="s">
        <v>836</v>
      </c>
      <c r="F11" s="397">
        <f>750/2</f>
        <v>375</v>
      </c>
      <c r="I11" s="370" t="s">
        <v>844</v>
      </c>
      <c r="J11" s="377">
        <v>135000</v>
      </c>
      <c r="K11" s="378">
        <f t="shared" si="3"/>
        <v>11250</v>
      </c>
      <c r="L11" s="379">
        <f t="shared" si="4"/>
        <v>64.90384615384616</v>
      </c>
      <c r="M11" s="379">
        <f t="shared" si="5"/>
        <v>90.865384615384613</v>
      </c>
      <c r="N11" s="379">
        <v>95</v>
      </c>
      <c r="O11" s="381">
        <f t="shared" si="6"/>
        <v>141142.85714285716</v>
      </c>
    </row>
    <row r="12" spans="2:16" x14ac:dyDescent="0.35">
      <c r="B12" s="389" t="s">
        <v>838</v>
      </c>
      <c r="C12" s="142" t="b">
        <v>0</v>
      </c>
      <c r="D12" s="367">
        <f t="shared" ref="D12:D32" si="7">+$C$6</f>
        <v>0</v>
      </c>
      <c r="E12" s="396" t="s">
        <v>836</v>
      </c>
      <c r="F12" s="397">
        <v>750</v>
      </c>
      <c r="I12" s="370" t="s">
        <v>845</v>
      </c>
      <c r="J12" s="377">
        <v>120000</v>
      </c>
      <c r="K12" s="378">
        <f t="shared" si="3"/>
        <v>10000</v>
      </c>
      <c r="L12" s="379">
        <f t="shared" si="4"/>
        <v>57.692307692307693</v>
      </c>
      <c r="M12" s="379">
        <f t="shared" si="5"/>
        <v>80.769230769230759</v>
      </c>
      <c r="N12" s="379">
        <v>95</v>
      </c>
      <c r="O12" s="381">
        <f t="shared" si="6"/>
        <v>141142.85714285716</v>
      </c>
    </row>
    <row r="13" spans="2:16" x14ac:dyDescent="0.35">
      <c r="B13" s="389" t="s">
        <v>839</v>
      </c>
      <c r="C13" s="142" t="b">
        <v>0</v>
      </c>
      <c r="D13" s="367">
        <f t="shared" si="7"/>
        <v>0</v>
      </c>
      <c r="E13" s="396" t="s">
        <v>836</v>
      </c>
      <c r="F13" s="397">
        <f>750/2</f>
        <v>375</v>
      </c>
      <c r="I13" s="382" t="s">
        <v>924</v>
      </c>
      <c r="J13" s="377">
        <v>85000</v>
      </c>
      <c r="K13" s="378">
        <f t="shared" si="3"/>
        <v>7083.333333333333</v>
      </c>
      <c r="L13" s="379">
        <f t="shared" si="4"/>
        <v>40.865384615384613</v>
      </c>
      <c r="M13" s="379">
        <f t="shared" si="5"/>
        <v>57.211538461538453</v>
      </c>
      <c r="N13" s="379">
        <v>65</v>
      </c>
      <c r="O13" s="381">
        <f t="shared" si="6"/>
        <v>96571.42857142858</v>
      </c>
    </row>
    <row r="14" spans="2:16" x14ac:dyDescent="0.35">
      <c r="B14" s="389" t="s">
        <v>840</v>
      </c>
      <c r="C14" s="142" t="b">
        <v>0</v>
      </c>
      <c r="D14" s="367">
        <f t="shared" si="7"/>
        <v>0</v>
      </c>
      <c r="E14" s="398">
        <v>0.5</v>
      </c>
      <c r="F14" s="399">
        <f>+'GCs Input, Staff &amp; IT Costs'!K4</f>
        <v>14166.666666666666</v>
      </c>
      <c r="I14" s="382" t="s">
        <v>924</v>
      </c>
      <c r="J14" s="377">
        <v>85000</v>
      </c>
      <c r="K14" s="378">
        <f t="shared" si="3"/>
        <v>7083.333333333333</v>
      </c>
      <c r="L14" s="379">
        <f t="shared" si="4"/>
        <v>40.865384615384613</v>
      </c>
      <c r="M14" s="379">
        <f t="shared" si="5"/>
        <v>57.211538461538453</v>
      </c>
      <c r="N14" s="379">
        <v>65</v>
      </c>
      <c r="O14" s="381">
        <f t="shared" si="6"/>
        <v>96571.42857142858</v>
      </c>
    </row>
    <row r="15" spans="2:16" x14ac:dyDescent="0.35">
      <c r="B15" s="389"/>
      <c r="C15" s="142"/>
      <c r="D15" s="367"/>
      <c r="E15" s="398"/>
      <c r="F15" s="399"/>
      <c r="I15" s="370" t="s">
        <v>838</v>
      </c>
      <c r="J15" s="377">
        <v>130000</v>
      </c>
      <c r="K15" s="383">
        <f>(J15/12)/35</f>
        <v>309.52380952380952</v>
      </c>
      <c r="L15" s="379">
        <f t="shared" si="4"/>
        <v>62.5</v>
      </c>
      <c r="M15" s="379">
        <f t="shared" si="5"/>
        <v>87.5</v>
      </c>
      <c r="N15" s="379">
        <v>125</v>
      </c>
      <c r="O15" s="381">
        <f t="shared" si="6"/>
        <v>185714.28571428574</v>
      </c>
    </row>
    <row r="16" spans="2:16" x14ac:dyDescent="0.35">
      <c r="B16" s="389" t="s">
        <v>841</v>
      </c>
      <c r="C16" s="142" t="b">
        <v>0</v>
      </c>
      <c r="D16" s="367">
        <f t="shared" si="7"/>
        <v>0</v>
      </c>
      <c r="E16" s="398">
        <v>1</v>
      </c>
      <c r="F16" s="399">
        <f>+'GCs Input, Staff &amp; IT Costs'!K18</f>
        <v>7916.666666666667</v>
      </c>
      <c r="I16" s="370" t="s">
        <v>839</v>
      </c>
      <c r="J16" s="377">
        <v>200000</v>
      </c>
      <c r="K16" s="383">
        <f>(J16/12)/35</f>
        <v>476.1904761904762</v>
      </c>
      <c r="L16" s="379">
        <f t="shared" si="4"/>
        <v>96.15384615384616</v>
      </c>
      <c r="M16" s="379">
        <f t="shared" si="5"/>
        <v>134.61538461538461</v>
      </c>
      <c r="N16" s="379">
        <v>145</v>
      </c>
      <c r="O16" s="381">
        <f t="shared" si="6"/>
        <v>215428.57142857145</v>
      </c>
    </row>
    <row r="17" spans="2:15" x14ac:dyDescent="0.35">
      <c r="B17" s="389"/>
      <c r="C17" s="142"/>
      <c r="D17" s="367"/>
      <c r="E17" s="398"/>
      <c r="F17" s="399"/>
      <c r="I17" s="370" t="s">
        <v>849</v>
      </c>
      <c r="J17" s="377">
        <v>74000</v>
      </c>
      <c r="K17" s="378">
        <f>+J17/12</f>
        <v>6166.666666666667</v>
      </c>
      <c r="L17" s="379">
        <f t="shared" si="4"/>
        <v>35.57692307692308</v>
      </c>
      <c r="M17" s="379">
        <f t="shared" si="5"/>
        <v>49.807692307692307</v>
      </c>
      <c r="N17" s="379">
        <v>50</v>
      </c>
      <c r="O17" s="381">
        <f t="shared" si="6"/>
        <v>74285.71428571429</v>
      </c>
    </row>
    <row r="18" spans="2:15" x14ac:dyDescent="0.35">
      <c r="B18" s="389" t="s">
        <v>842</v>
      </c>
      <c r="C18" s="142" t="b">
        <v>0</v>
      </c>
      <c r="D18" s="367">
        <f t="shared" si="7"/>
        <v>0</v>
      </c>
      <c r="E18" s="398">
        <v>0.5</v>
      </c>
      <c r="F18" s="399">
        <f>+'GCs Input, Staff &amp; IT Costs'!K5</f>
        <v>11833.333333333334</v>
      </c>
      <c r="I18" s="370" t="s">
        <v>841</v>
      </c>
      <c r="J18" s="377">
        <v>95000</v>
      </c>
      <c r="K18" s="378">
        <f>+J18/12</f>
        <v>7916.666666666667</v>
      </c>
      <c r="L18" s="379">
        <f t="shared" si="4"/>
        <v>45.67307692307692</v>
      </c>
      <c r="M18" s="379">
        <f t="shared" si="5"/>
        <v>63.942307692307686</v>
      </c>
      <c r="N18" s="379">
        <v>75</v>
      </c>
      <c r="O18" s="381">
        <f t="shared" si="6"/>
        <v>111428.57142857143</v>
      </c>
    </row>
    <row r="19" spans="2:15" ht="15" thickBot="1" x14ac:dyDescent="0.4">
      <c r="B19" s="389" t="s">
        <v>843</v>
      </c>
      <c r="C19" s="142" t="b">
        <v>0</v>
      </c>
      <c r="D19" s="367">
        <f t="shared" si="7"/>
        <v>0</v>
      </c>
      <c r="E19" s="398">
        <v>0.33</v>
      </c>
      <c r="F19" s="399">
        <f>+'GCs Input, Staff &amp; IT Costs'!K6</f>
        <v>10000</v>
      </c>
      <c r="I19" s="384" t="s">
        <v>904</v>
      </c>
      <c r="J19" s="385">
        <v>175000</v>
      </c>
      <c r="K19" s="386">
        <f>(J19/12)/35</f>
        <v>416.66666666666669</v>
      </c>
      <c r="L19" s="387">
        <f t="shared" si="4"/>
        <v>84.134615384615387</v>
      </c>
      <c r="M19" s="387">
        <f t="shared" si="5"/>
        <v>117.78846153846153</v>
      </c>
      <c r="N19" s="387">
        <v>135</v>
      </c>
      <c r="O19" s="388">
        <f t="shared" si="6"/>
        <v>200571.42857142858</v>
      </c>
    </row>
    <row r="20" spans="2:15" x14ac:dyDescent="0.35">
      <c r="B20" s="389" t="s">
        <v>858</v>
      </c>
      <c r="C20" s="142" t="b">
        <v>0</v>
      </c>
      <c r="D20" s="367">
        <f t="shared" si="7"/>
        <v>0</v>
      </c>
      <c r="E20" s="398">
        <v>0.33</v>
      </c>
      <c r="F20" s="399">
        <f>+'GCs Input, Staff &amp; IT Costs'!K7</f>
        <v>7083.333333333333</v>
      </c>
      <c r="L20" s="158"/>
      <c r="M20" s="158"/>
      <c r="N20" s="158"/>
    </row>
    <row r="21" spans="2:15" ht="15" thickBot="1" x14ac:dyDescent="0.4">
      <c r="B21" s="389" t="s">
        <v>858</v>
      </c>
      <c r="C21" s="142" t="b">
        <v>0</v>
      </c>
      <c r="D21" s="367">
        <f t="shared" si="7"/>
        <v>0</v>
      </c>
      <c r="E21" s="398">
        <v>0.33</v>
      </c>
      <c r="F21" s="399">
        <f>+'GCs Input, Staff &amp; IT Costs'!K8</f>
        <v>7083.333333333333</v>
      </c>
      <c r="L21" s="158"/>
      <c r="M21" s="158"/>
      <c r="N21" s="158"/>
    </row>
    <row r="22" spans="2:15" ht="24" thickBot="1" x14ac:dyDescent="0.6">
      <c r="B22" s="389"/>
      <c r="C22" s="142"/>
      <c r="D22" s="367"/>
      <c r="E22" s="398"/>
      <c r="F22" s="399"/>
      <c r="I22" s="566" t="s">
        <v>1271</v>
      </c>
      <c r="J22" s="567"/>
      <c r="K22" s="567"/>
      <c r="L22" s="567"/>
      <c r="M22" s="567"/>
      <c r="N22" s="567"/>
      <c r="O22" s="568"/>
    </row>
    <row r="23" spans="2:15" x14ac:dyDescent="0.35">
      <c r="B23" s="389" t="s">
        <v>844</v>
      </c>
      <c r="C23" s="142" t="b">
        <v>0</v>
      </c>
      <c r="D23" s="367">
        <f t="shared" si="7"/>
        <v>0</v>
      </c>
      <c r="E23" s="398">
        <v>1</v>
      </c>
      <c r="F23" s="399">
        <f>+'GCs Input, Staff &amp; IT Costs'!K11</f>
        <v>11250</v>
      </c>
      <c r="I23" s="368" t="s">
        <v>905</v>
      </c>
      <c r="J23" s="369">
        <v>55.56</v>
      </c>
      <c r="K23" s="572" t="s">
        <v>906</v>
      </c>
      <c r="L23" s="573"/>
      <c r="M23" s="573"/>
      <c r="N23" s="573"/>
      <c r="O23" s="574"/>
    </row>
    <row r="24" spans="2:15" x14ac:dyDescent="0.35">
      <c r="B24" s="389" t="s">
        <v>845</v>
      </c>
      <c r="C24" s="142" t="b">
        <v>0</v>
      </c>
      <c r="D24" s="367">
        <f t="shared" si="7"/>
        <v>0</v>
      </c>
      <c r="E24" s="398">
        <v>1</v>
      </c>
      <c r="F24" s="399">
        <f>+'GCs Input, Staff &amp; IT Costs'!K12</f>
        <v>10000</v>
      </c>
      <c r="I24" s="370" t="s">
        <v>907</v>
      </c>
      <c r="J24" s="371">
        <v>4.58</v>
      </c>
      <c r="K24" s="575" t="s">
        <v>908</v>
      </c>
      <c r="L24" s="576"/>
      <c r="M24" s="576"/>
      <c r="N24" s="576"/>
      <c r="O24" s="577"/>
    </row>
    <row r="25" spans="2:15" x14ac:dyDescent="0.35">
      <c r="B25" s="389" t="s">
        <v>859</v>
      </c>
      <c r="C25" s="142" t="b">
        <v>0</v>
      </c>
      <c r="D25" s="367">
        <f t="shared" si="7"/>
        <v>0</v>
      </c>
      <c r="E25" s="398">
        <v>0.33</v>
      </c>
      <c r="F25" s="399">
        <f>+'GCs Input, Staff &amp; IT Costs'!K13</f>
        <v>7083.333333333333</v>
      </c>
      <c r="I25" s="370" t="s">
        <v>909</v>
      </c>
      <c r="J25" s="371">
        <v>5.23</v>
      </c>
      <c r="K25" s="575" t="s">
        <v>910</v>
      </c>
      <c r="L25" s="576"/>
      <c r="M25" s="576"/>
      <c r="N25" s="576"/>
      <c r="O25" s="577"/>
    </row>
    <row r="26" spans="2:15" x14ac:dyDescent="0.35">
      <c r="B26" s="389" t="s">
        <v>859</v>
      </c>
      <c r="C26" s="142" t="b">
        <v>0</v>
      </c>
      <c r="D26" s="367">
        <f t="shared" si="7"/>
        <v>0</v>
      </c>
      <c r="E26" s="398">
        <v>1</v>
      </c>
      <c r="F26" s="399">
        <f>+'GCs Input, Staff &amp; IT Costs'!K14</f>
        <v>7083.333333333333</v>
      </c>
      <c r="I26" s="370" t="s">
        <v>911</v>
      </c>
      <c r="J26" s="371">
        <v>41.67</v>
      </c>
      <c r="K26" s="575" t="s">
        <v>912</v>
      </c>
      <c r="L26" s="576"/>
      <c r="M26" s="576"/>
      <c r="N26" s="576"/>
      <c r="O26" s="577"/>
    </row>
    <row r="27" spans="2:15" x14ac:dyDescent="0.35">
      <c r="B27" s="389"/>
      <c r="C27" s="142"/>
      <c r="D27" s="367"/>
      <c r="E27" s="398"/>
      <c r="F27" s="399"/>
      <c r="I27" s="370" t="s">
        <v>913</v>
      </c>
      <c r="J27" s="371">
        <v>27</v>
      </c>
      <c r="K27" s="575" t="s">
        <v>914</v>
      </c>
      <c r="L27" s="576"/>
      <c r="M27" s="576"/>
      <c r="N27" s="576"/>
      <c r="O27" s="577"/>
    </row>
    <row r="28" spans="2:15" x14ac:dyDescent="0.35">
      <c r="B28" s="389" t="s">
        <v>847</v>
      </c>
      <c r="C28" s="142" t="b">
        <v>0</v>
      </c>
      <c r="D28" s="367">
        <f t="shared" si="7"/>
        <v>0</v>
      </c>
      <c r="E28" s="398">
        <v>0.4</v>
      </c>
      <c r="F28" s="397">
        <v>1000</v>
      </c>
      <c r="I28" s="370" t="s">
        <v>915</v>
      </c>
      <c r="J28" s="371">
        <v>58.58</v>
      </c>
      <c r="K28" s="575"/>
      <c r="L28" s="576"/>
      <c r="M28" s="576"/>
      <c r="N28" s="576"/>
      <c r="O28" s="577"/>
    </row>
    <row r="29" spans="2:15" x14ac:dyDescent="0.35">
      <c r="B29" s="389" t="s">
        <v>848</v>
      </c>
      <c r="C29" s="142" t="b">
        <v>0</v>
      </c>
      <c r="D29" s="367">
        <f t="shared" si="7"/>
        <v>0</v>
      </c>
      <c r="E29" s="398">
        <v>0.3</v>
      </c>
      <c r="F29" s="399">
        <f>+'GCs Input, Staff &amp; IT Costs'!K10</f>
        <v>6750</v>
      </c>
      <c r="I29" s="370" t="s">
        <v>916</v>
      </c>
      <c r="J29" s="371">
        <v>38.880000000000003</v>
      </c>
      <c r="K29" s="575"/>
      <c r="L29" s="576"/>
      <c r="M29" s="576"/>
      <c r="N29" s="576"/>
      <c r="O29" s="577"/>
    </row>
    <row r="30" spans="2:15" x14ac:dyDescent="0.35">
      <c r="B30" s="389" t="s">
        <v>849</v>
      </c>
      <c r="C30" s="142" t="b">
        <v>0</v>
      </c>
      <c r="D30" s="367">
        <f t="shared" si="7"/>
        <v>0</v>
      </c>
      <c r="E30" s="398">
        <v>0.3</v>
      </c>
      <c r="F30" s="399">
        <f>+'GCs Input, Staff &amp; IT Costs'!K17</f>
        <v>6166.666666666667</v>
      </c>
      <c r="I30" s="370" t="s">
        <v>917</v>
      </c>
      <c r="J30" s="371">
        <v>8.68</v>
      </c>
      <c r="K30" s="575" t="s">
        <v>918</v>
      </c>
      <c r="L30" s="576"/>
      <c r="M30" s="576"/>
      <c r="N30" s="576"/>
      <c r="O30" s="577"/>
    </row>
    <row r="31" spans="2:15" x14ac:dyDescent="0.35">
      <c r="B31" s="389" t="s">
        <v>850</v>
      </c>
      <c r="C31" s="142" t="b">
        <v>0</v>
      </c>
      <c r="D31" s="367">
        <f t="shared" si="7"/>
        <v>0</v>
      </c>
      <c r="E31" s="398">
        <v>0.4</v>
      </c>
      <c r="F31" s="397">
        <v>3500</v>
      </c>
      <c r="I31" s="370" t="s">
        <v>919</v>
      </c>
      <c r="J31" s="371">
        <v>4.17</v>
      </c>
      <c r="K31" s="575" t="s">
        <v>920</v>
      </c>
      <c r="L31" s="576"/>
      <c r="M31" s="576"/>
      <c r="N31" s="576"/>
      <c r="O31" s="577"/>
    </row>
    <row r="32" spans="2:15" x14ac:dyDescent="0.35">
      <c r="B32" s="389" t="s">
        <v>846</v>
      </c>
      <c r="C32" s="142" t="b">
        <v>0</v>
      </c>
      <c r="D32" s="367">
        <f t="shared" si="7"/>
        <v>0</v>
      </c>
      <c r="E32" s="398">
        <v>0.35</v>
      </c>
      <c r="F32" s="397">
        <v>1000</v>
      </c>
      <c r="I32" s="370" t="s">
        <v>887</v>
      </c>
      <c r="J32" s="371">
        <f>SUM(J23:J31)</f>
        <v>244.35</v>
      </c>
      <c r="K32" s="575"/>
      <c r="L32" s="576"/>
      <c r="M32" s="576"/>
      <c r="N32" s="576"/>
      <c r="O32" s="577"/>
    </row>
    <row r="33" spans="2:19" ht="15" thickBot="1" x14ac:dyDescent="0.4">
      <c r="B33" s="389"/>
      <c r="C33" s="367"/>
      <c r="D33" s="367"/>
      <c r="E33" s="367"/>
      <c r="F33" s="390"/>
      <c r="I33" s="372"/>
      <c r="J33" s="373">
        <v>250</v>
      </c>
      <c r="K33" s="569" t="s">
        <v>921</v>
      </c>
      <c r="L33" s="570"/>
      <c r="M33" s="570"/>
      <c r="N33" s="570"/>
      <c r="O33" s="571"/>
    </row>
    <row r="34" spans="2:19" x14ac:dyDescent="0.35">
      <c r="B34" s="394" t="s">
        <v>851</v>
      </c>
      <c r="C34" s="143" t="s">
        <v>852</v>
      </c>
      <c r="D34" s="144"/>
      <c r="E34" s="367"/>
      <c r="F34" s="390"/>
    </row>
    <row r="35" spans="2:19" x14ac:dyDescent="0.35">
      <c r="B35" s="389"/>
      <c r="C35" s="367"/>
      <c r="D35" s="367"/>
      <c r="E35" s="367"/>
      <c r="F35" s="390"/>
    </row>
    <row r="36" spans="2:19" x14ac:dyDescent="0.35">
      <c r="B36" s="389" t="s">
        <v>853</v>
      </c>
      <c r="C36" s="400">
        <v>875</v>
      </c>
      <c r="D36" s="367"/>
      <c r="E36" s="367"/>
      <c r="F36" s="390"/>
    </row>
    <row r="37" spans="2:19" x14ac:dyDescent="0.35">
      <c r="B37" s="389" t="s">
        <v>854</v>
      </c>
      <c r="C37" s="400">
        <v>400</v>
      </c>
      <c r="D37" s="367"/>
      <c r="E37" s="367"/>
      <c r="F37" s="390"/>
    </row>
    <row r="38" spans="2:19" x14ac:dyDescent="0.35">
      <c r="B38" s="389" t="s">
        <v>855</v>
      </c>
      <c r="C38" s="400">
        <v>150</v>
      </c>
      <c r="D38" s="367"/>
      <c r="E38" s="367"/>
      <c r="F38" s="390"/>
    </row>
    <row r="39" spans="2:19" x14ac:dyDescent="0.35">
      <c r="B39" s="389" t="s">
        <v>856</v>
      </c>
      <c r="C39" s="400">
        <v>860</v>
      </c>
      <c r="D39" s="367"/>
      <c r="E39" s="367"/>
      <c r="F39" s="390"/>
    </row>
    <row r="40" spans="2:19" x14ac:dyDescent="0.35">
      <c r="B40" s="389" t="s">
        <v>857</v>
      </c>
      <c r="C40" s="142" t="b">
        <v>1</v>
      </c>
      <c r="D40" s="367"/>
      <c r="E40" s="367"/>
      <c r="F40" s="390"/>
      <c r="S40" s="142" t="s">
        <v>827</v>
      </c>
    </row>
    <row r="41" spans="2:19" x14ac:dyDescent="0.35">
      <c r="B41" s="401" t="s">
        <v>841</v>
      </c>
      <c r="C41" s="400">
        <f>IF($C$40=TRUE,1500,0)</f>
        <v>1500</v>
      </c>
      <c r="D41" s="367"/>
      <c r="E41" s="402"/>
      <c r="F41" s="390"/>
      <c r="S41" s="142" t="s">
        <v>829</v>
      </c>
    </row>
    <row r="42" spans="2:19" x14ac:dyDescent="0.35">
      <c r="B42" s="401" t="s">
        <v>925</v>
      </c>
      <c r="C42" s="400">
        <f>IF($C$40=TRUE,2500,0)</f>
        <v>2500</v>
      </c>
      <c r="D42" s="367"/>
      <c r="E42" s="402"/>
      <c r="F42" s="390"/>
      <c r="S42" s="142"/>
    </row>
    <row r="43" spans="2:19" x14ac:dyDescent="0.35">
      <c r="B43" s="401" t="s">
        <v>843</v>
      </c>
      <c r="C43" s="400">
        <f>IF($C$40=TRUE,2500,0)</f>
        <v>2500</v>
      </c>
      <c r="D43" s="367"/>
      <c r="E43" s="402"/>
      <c r="F43" s="390"/>
    </row>
    <row r="44" spans="2:19" x14ac:dyDescent="0.35">
      <c r="B44" s="401" t="s">
        <v>858</v>
      </c>
      <c r="C44" s="400">
        <f>IF($C$40=TRUE,2200,0)</f>
        <v>2200</v>
      </c>
      <c r="D44" s="367"/>
      <c r="E44" s="402"/>
      <c r="F44" s="390"/>
    </row>
    <row r="45" spans="2:19" x14ac:dyDescent="0.35">
      <c r="B45" s="401" t="s">
        <v>926</v>
      </c>
      <c r="C45" s="400">
        <f t="shared" ref="C45" si="8">IF($C$40=TRUE,2500,0)</f>
        <v>2500</v>
      </c>
      <c r="D45" s="367"/>
      <c r="E45" s="402"/>
      <c r="F45" s="390"/>
    </row>
    <row r="46" spans="2:19" x14ac:dyDescent="0.35">
      <c r="B46" s="401" t="s">
        <v>845</v>
      </c>
      <c r="C46" s="400">
        <f>IF($C$40=TRUE,2500,0)</f>
        <v>2500</v>
      </c>
      <c r="D46" s="367"/>
      <c r="E46" s="402"/>
      <c r="F46" s="390"/>
    </row>
    <row r="47" spans="2:19" x14ac:dyDescent="0.35">
      <c r="B47" s="401" t="s">
        <v>859</v>
      </c>
      <c r="C47" s="400">
        <f>IF($C$40=TRUE,2200,0)</f>
        <v>2200</v>
      </c>
      <c r="D47" s="367"/>
      <c r="E47" s="402"/>
      <c r="F47" s="390"/>
      <c r="I47" s="488" t="s">
        <v>1414</v>
      </c>
    </row>
    <row r="48" spans="2:19" x14ac:dyDescent="0.35">
      <c r="B48" s="389"/>
      <c r="C48" s="402"/>
      <c r="D48" s="367"/>
      <c r="E48" s="367"/>
      <c r="F48" s="390"/>
      <c r="I48" s="488" t="s">
        <v>1413</v>
      </c>
    </row>
    <row r="49" spans="2:9" x14ac:dyDescent="0.35">
      <c r="B49" s="389" t="s">
        <v>860</v>
      </c>
      <c r="C49" s="400">
        <v>1500</v>
      </c>
      <c r="D49" s="367"/>
      <c r="E49" s="367"/>
      <c r="F49" s="390"/>
      <c r="I49" s="488" t="s">
        <v>1415</v>
      </c>
    </row>
    <row r="50" spans="2:9" x14ac:dyDescent="0.35">
      <c r="B50" s="389" t="s">
        <v>861</v>
      </c>
      <c r="C50" s="400">
        <v>10000</v>
      </c>
      <c r="D50" s="367"/>
      <c r="E50" s="367"/>
      <c r="F50" s="390"/>
    </row>
    <row r="51" spans="2:9" x14ac:dyDescent="0.35">
      <c r="B51" s="389" t="s">
        <v>862</v>
      </c>
      <c r="C51" s="400">
        <v>2500</v>
      </c>
      <c r="D51" s="367"/>
      <c r="E51" s="367"/>
      <c r="F51" s="390"/>
    </row>
    <row r="52" spans="2:9" x14ac:dyDescent="0.35">
      <c r="B52" s="389" t="s">
        <v>863</v>
      </c>
      <c r="C52" s="400">
        <v>250</v>
      </c>
      <c r="D52" s="367"/>
      <c r="E52" s="367"/>
      <c r="F52" s="390"/>
    </row>
    <row r="53" spans="2:9" x14ac:dyDescent="0.35">
      <c r="B53" s="389" t="s">
        <v>864</v>
      </c>
      <c r="C53" s="400">
        <v>800</v>
      </c>
      <c r="D53" s="367"/>
      <c r="E53" s="367"/>
      <c r="F53" s="390"/>
    </row>
    <row r="54" spans="2:9" x14ac:dyDescent="0.35">
      <c r="B54" s="389" t="s">
        <v>865</v>
      </c>
      <c r="C54" s="400">
        <v>2000</v>
      </c>
      <c r="D54" s="367"/>
      <c r="E54" s="367"/>
      <c r="F54" s="390"/>
    </row>
    <row r="55" spans="2:9" x14ac:dyDescent="0.35">
      <c r="B55" s="389" t="s">
        <v>866</v>
      </c>
      <c r="C55" s="400">
        <v>350</v>
      </c>
      <c r="D55" s="367"/>
      <c r="E55" s="367"/>
      <c r="F55" s="390"/>
    </row>
    <row r="56" spans="2:9" x14ac:dyDescent="0.35">
      <c r="B56" s="389" t="s">
        <v>867</v>
      </c>
      <c r="C56" s="400">
        <v>400</v>
      </c>
      <c r="D56" s="367"/>
      <c r="E56" s="367"/>
      <c r="F56" s="390"/>
    </row>
    <row r="57" spans="2:9" x14ac:dyDescent="0.35">
      <c r="B57" s="389"/>
      <c r="C57" s="402"/>
      <c r="D57" s="367"/>
      <c r="E57" s="367"/>
      <c r="F57" s="390"/>
    </row>
    <row r="58" spans="2:9" x14ac:dyDescent="0.35">
      <c r="B58" s="389" t="s">
        <v>868</v>
      </c>
      <c r="C58" s="400">
        <v>4</v>
      </c>
      <c r="D58" s="367"/>
      <c r="E58" s="367"/>
      <c r="F58" s="390"/>
    </row>
    <row r="59" spans="2:9" x14ac:dyDescent="0.35">
      <c r="B59" s="403" t="s">
        <v>869</v>
      </c>
      <c r="C59" s="404"/>
      <c r="D59" s="367"/>
      <c r="E59" s="367"/>
      <c r="F59" s="390"/>
    </row>
    <row r="60" spans="2:9" x14ac:dyDescent="0.35">
      <c r="B60" s="389" t="s">
        <v>870</v>
      </c>
      <c r="C60" s="400">
        <v>4200</v>
      </c>
      <c r="D60" s="367"/>
      <c r="E60" s="367"/>
      <c r="F60" s="390"/>
    </row>
    <row r="61" spans="2:9" x14ac:dyDescent="0.35">
      <c r="B61" s="389" t="s">
        <v>871</v>
      </c>
      <c r="C61" s="400">
        <v>150</v>
      </c>
      <c r="D61" s="367"/>
      <c r="E61" s="367"/>
      <c r="F61" s="390"/>
    </row>
    <row r="62" spans="2:9" x14ac:dyDescent="0.35">
      <c r="B62" s="389" t="s">
        <v>872</v>
      </c>
      <c r="C62" s="400">
        <v>250</v>
      </c>
      <c r="D62" s="367"/>
      <c r="E62" s="367"/>
      <c r="F62" s="390"/>
    </row>
    <row r="63" spans="2:9" x14ac:dyDescent="0.35">
      <c r="B63" s="389" t="s">
        <v>873</v>
      </c>
      <c r="C63" s="400">
        <v>1500</v>
      </c>
      <c r="D63" s="367"/>
      <c r="E63" s="367"/>
      <c r="F63" s="390"/>
    </row>
    <row r="64" spans="2:9" x14ac:dyDescent="0.35">
      <c r="B64" s="389" t="s">
        <v>874</v>
      </c>
      <c r="C64" s="400">
        <v>250</v>
      </c>
      <c r="D64" s="367"/>
      <c r="E64" s="367"/>
      <c r="F64" s="390"/>
    </row>
    <row r="65" spans="2:6" x14ac:dyDescent="0.35">
      <c r="B65" s="389" t="s">
        <v>875</v>
      </c>
      <c r="C65" s="400">
        <v>500</v>
      </c>
      <c r="D65" s="367"/>
      <c r="E65" s="367"/>
      <c r="F65" s="390"/>
    </row>
    <row r="66" spans="2:6" x14ac:dyDescent="0.35">
      <c r="B66" s="389" t="s">
        <v>876</v>
      </c>
      <c r="C66" s="402">
        <v>440</v>
      </c>
      <c r="D66" s="485" t="s">
        <v>1410</v>
      </c>
      <c r="E66" s="367"/>
      <c r="F66" s="390"/>
    </row>
    <row r="67" spans="2:6" x14ac:dyDescent="0.35">
      <c r="B67" s="389" t="s">
        <v>877</v>
      </c>
      <c r="C67" s="400">
        <v>400</v>
      </c>
      <c r="D67" s="485" t="s">
        <v>1411</v>
      </c>
      <c r="E67" s="367"/>
      <c r="F67" s="390"/>
    </row>
    <row r="68" spans="2:6" x14ac:dyDescent="0.35">
      <c r="B68" s="403" t="s">
        <v>878</v>
      </c>
      <c r="C68" s="404">
        <v>6</v>
      </c>
      <c r="D68" s="367"/>
      <c r="E68" s="367"/>
      <c r="F68" s="390"/>
    </row>
    <row r="69" spans="2:6" ht="15" thickBot="1" x14ac:dyDescent="0.4">
      <c r="B69" s="405" t="s">
        <v>879</v>
      </c>
      <c r="C69" s="406">
        <v>500</v>
      </c>
      <c r="D69" s="407"/>
      <c r="E69" s="407"/>
      <c r="F69" s="408"/>
    </row>
  </sheetData>
  <mergeCells count="14">
    <mergeCell ref="B2:F2"/>
    <mergeCell ref="I2:O2"/>
    <mergeCell ref="K33:O33"/>
    <mergeCell ref="I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  <mergeCell ref="K32:O32"/>
  </mergeCells>
  <pageMargins left="0.7" right="0.7" top="0.75" bottom="0.75" header="0.3" footer="0.3"/>
  <pageSetup scale="6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2</xdr:col>
                    <xdr:colOff>165100</xdr:colOff>
                    <xdr:row>8</xdr:row>
                    <xdr:rowOff>177800</xdr:rowOff>
                  </from>
                  <to>
                    <xdr:col>2</xdr:col>
                    <xdr:colOff>635000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2</xdr:col>
                    <xdr:colOff>165100</xdr:colOff>
                    <xdr:row>10</xdr:row>
                    <xdr:rowOff>0</xdr:rowOff>
                  </from>
                  <to>
                    <xdr:col>2</xdr:col>
                    <xdr:colOff>635000</xdr:colOff>
                    <xdr:row>11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2</xdr:col>
                    <xdr:colOff>165100</xdr:colOff>
                    <xdr:row>10</xdr:row>
                    <xdr:rowOff>177800</xdr:rowOff>
                  </from>
                  <to>
                    <xdr:col>2</xdr:col>
                    <xdr:colOff>635000</xdr:colOff>
                    <xdr:row>12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2</xdr:col>
                    <xdr:colOff>165100</xdr:colOff>
                    <xdr:row>12</xdr:row>
                    <xdr:rowOff>0</xdr:rowOff>
                  </from>
                  <to>
                    <xdr:col>2</xdr:col>
                    <xdr:colOff>635000</xdr:colOff>
                    <xdr:row>13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2</xdr:col>
                    <xdr:colOff>165100</xdr:colOff>
                    <xdr:row>16</xdr:row>
                    <xdr:rowOff>177800</xdr:rowOff>
                  </from>
                  <to>
                    <xdr:col>2</xdr:col>
                    <xdr:colOff>635000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2</xdr:col>
                    <xdr:colOff>165100</xdr:colOff>
                    <xdr:row>18</xdr:row>
                    <xdr:rowOff>0</xdr:rowOff>
                  </from>
                  <to>
                    <xdr:col>2</xdr:col>
                    <xdr:colOff>635000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2</xdr:col>
                    <xdr:colOff>165100</xdr:colOff>
                    <xdr:row>18</xdr:row>
                    <xdr:rowOff>177800</xdr:rowOff>
                  </from>
                  <to>
                    <xdr:col>2</xdr:col>
                    <xdr:colOff>635000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2</xdr:col>
                    <xdr:colOff>165100</xdr:colOff>
                    <xdr:row>20</xdr:row>
                    <xdr:rowOff>0</xdr:rowOff>
                  </from>
                  <to>
                    <xdr:col>2</xdr:col>
                    <xdr:colOff>635000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2</xdr:col>
                    <xdr:colOff>165100</xdr:colOff>
                    <xdr:row>21</xdr:row>
                    <xdr:rowOff>177800</xdr:rowOff>
                  </from>
                  <to>
                    <xdr:col>2</xdr:col>
                    <xdr:colOff>635000</xdr:colOff>
                    <xdr:row>22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2</xdr:col>
                    <xdr:colOff>165100</xdr:colOff>
                    <xdr:row>23</xdr:row>
                    <xdr:rowOff>0</xdr:rowOff>
                  </from>
                  <to>
                    <xdr:col>2</xdr:col>
                    <xdr:colOff>635000</xdr:colOff>
                    <xdr:row>24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2</xdr:col>
                    <xdr:colOff>165100</xdr:colOff>
                    <xdr:row>23</xdr:row>
                    <xdr:rowOff>177800</xdr:rowOff>
                  </from>
                  <to>
                    <xdr:col>2</xdr:col>
                    <xdr:colOff>635000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2</xdr:col>
                    <xdr:colOff>165100</xdr:colOff>
                    <xdr:row>25</xdr:row>
                    <xdr:rowOff>0</xdr:rowOff>
                  </from>
                  <to>
                    <xdr:col>2</xdr:col>
                    <xdr:colOff>635000</xdr:colOff>
                    <xdr:row>26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Fill="0" autoLine="0" autoPict="0">
                <anchor moveWithCells="1">
                  <from>
                    <xdr:col>2</xdr:col>
                    <xdr:colOff>165100</xdr:colOff>
                    <xdr:row>30</xdr:row>
                    <xdr:rowOff>177800</xdr:rowOff>
                  </from>
                  <to>
                    <xdr:col>2</xdr:col>
                    <xdr:colOff>635000</xdr:colOff>
                    <xdr:row>32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Fill="0" autoLine="0" autoPict="0">
                <anchor moveWithCells="1">
                  <from>
                    <xdr:col>2</xdr:col>
                    <xdr:colOff>165100</xdr:colOff>
                    <xdr:row>27</xdr:row>
                    <xdr:rowOff>0</xdr:rowOff>
                  </from>
                  <to>
                    <xdr:col>2</xdr:col>
                    <xdr:colOff>635000</xdr:colOff>
                    <xdr:row>28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Fill="0" autoLine="0" autoPict="0">
                <anchor moveWithCells="1">
                  <from>
                    <xdr:col>2</xdr:col>
                    <xdr:colOff>165100</xdr:colOff>
                    <xdr:row>27</xdr:row>
                    <xdr:rowOff>177800</xdr:rowOff>
                  </from>
                  <to>
                    <xdr:col>2</xdr:col>
                    <xdr:colOff>635000</xdr:colOff>
                    <xdr:row>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Fill="0" autoLine="0" autoPict="0">
                <anchor moveWithCells="1">
                  <from>
                    <xdr:col>2</xdr:col>
                    <xdr:colOff>165100</xdr:colOff>
                    <xdr:row>29</xdr:row>
                    <xdr:rowOff>0</xdr:rowOff>
                  </from>
                  <to>
                    <xdr:col>2</xdr:col>
                    <xdr:colOff>635000</xdr:colOff>
                    <xdr:row>30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Fill="0" autoLine="0" autoPict="0">
                <anchor moveWithCells="1">
                  <from>
                    <xdr:col>2</xdr:col>
                    <xdr:colOff>165100</xdr:colOff>
                    <xdr:row>12</xdr:row>
                    <xdr:rowOff>177800</xdr:rowOff>
                  </from>
                  <to>
                    <xdr:col>2</xdr:col>
                    <xdr:colOff>635000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Fill="0" autoLine="0" autoPict="0">
                <anchor moveWithCells="1">
                  <from>
                    <xdr:col>2</xdr:col>
                    <xdr:colOff>165100</xdr:colOff>
                    <xdr:row>14</xdr:row>
                    <xdr:rowOff>177800</xdr:rowOff>
                  </from>
                  <to>
                    <xdr:col>2</xdr:col>
                    <xdr:colOff>635000</xdr:colOff>
                    <xdr:row>16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Fill="0" autoLine="0" autoPict="0">
                <anchor moveWithCells="1">
                  <from>
                    <xdr:col>2</xdr:col>
                    <xdr:colOff>165100</xdr:colOff>
                    <xdr:row>30</xdr:row>
                    <xdr:rowOff>0</xdr:rowOff>
                  </from>
                  <to>
                    <xdr:col>2</xdr:col>
                    <xdr:colOff>635000</xdr:colOff>
                    <xdr:row>31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20">
              <controlPr defaultSize="0" autoFill="0" autoLine="0" autoPict="0">
                <anchor moveWithCells="1">
                  <from>
                    <xdr:col>2</xdr:col>
                    <xdr:colOff>165100</xdr:colOff>
                    <xdr:row>38</xdr:row>
                    <xdr:rowOff>177800</xdr:rowOff>
                  </from>
                  <to>
                    <xdr:col>2</xdr:col>
                    <xdr:colOff>635000</xdr:colOff>
                    <xdr:row>40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52DD-F458-4D9C-912F-91FF9838190E}">
  <sheetPr codeName="Sheet6">
    <pageSetUpPr fitToPage="1"/>
  </sheetPr>
  <dimension ref="B1:P129"/>
  <sheetViews>
    <sheetView zoomScaleNormal="100" zoomScaleSheetLayoutView="100" workbookViewId="0">
      <selection activeCell="N24" sqref="N24"/>
    </sheetView>
  </sheetViews>
  <sheetFormatPr defaultColWidth="9.1796875" defaultRowHeight="14.5" outlineLevelCol="1" x14ac:dyDescent="0.35"/>
  <cols>
    <col min="1" max="1" width="4.54296875" style="141" customWidth="1"/>
    <col min="2" max="5" width="9.1796875" style="141"/>
    <col min="6" max="6" width="15.1796875" style="146" bestFit="1" customWidth="1"/>
    <col min="7" max="7" width="12.6328125" style="146" customWidth="1"/>
    <col min="8" max="9" width="12.6328125" style="147" customWidth="1" outlineLevel="1"/>
    <col min="10" max="11" width="12.6328125" style="147" customWidth="1"/>
    <col min="12" max="12" width="13.81640625" style="147" customWidth="1"/>
    <col min="13" max="13" width="4.54296875" style="141" customWidth="1"/>
    <col min="14" max="15" width="9.1796875" style="141"/>
    <col min="16" max="16" width="22.1796875" style="141" customWidth="1"/>
    <col min="17" max="17" width="9.1796875" style="141"/>
    <col min="18" max="19" width="10.36328125" style="141" customWidth="1"/>
    <col min="20" max="16384" width="9.1796875" style="141"/>
  </cols>
  <sheetData>
    <row r="1" spans="2:16" ht="15" thickBot="1" x14ac:dyDescent="0.4"/>
    <row r="2" spans="2:16" ht="15" thickBot="1" x14ac:dyDescent="0.4">
      <c r="F2" s="584" t="str">
        <f>'GCs Input, Staff &amp; IT Costs'!C4</f>
        <v>Test</v>
      </c>
      <c r="G2" s="584"/>
      <c r="H2" s="584"/>
      <c r="I2" s="584"/>
      <c r="J2" s="584"/>
      <c r="K2" s="584"/>
      <c r="L2" s="584"/>
      <c r="N2" s="606" t="s">
        <v>952</v>
      </c>
      <c r="O2" s="607"/>
    </row>
    <row r="3" spans="2:16" x14ac:dyDescent="0.35">
      <c r="F3" s="584"/>
      <c r="G3" s="584"/>
      <c r="H3" s="584"/>
      <c r="I3" s="584"/>
      <c r="J3" s="584"/>
      <c r="K3" s="584"/>
      <c r="L3" s="584"/>
      <c r="N3" s="235">
        <f>H129</f>
        <v>0</v>
      </c>
      <c r="O3" s="236" t="s">
        <v>951</v>
      </c>
    </row>
    <row r="4" spans="2:16" ht="15" thickBot="1" x14ac:dyDescent="0.4">
      <c r="F4" s="584"/>
      <c r="G4" s="584"/>
      <c r="H4" s="584"/>
      <c r="I4" s="584"/>
      <c r="J4" s="584"/>
      <c r="K4" s="584"/>
      <c r="L4" s="584"/>
      <c r="N4" s="237">
        <f>'Project Info Input'!C22+'Project Info Input'!C23</f>
        <v>0</v>
      </c>
      <c r="O4" s="234" t="s">
        <v>595</v>
      </c>
    </row>
    <row r="5" spans="2:16" x14ac:dyDescent="0.35">
      <c r="F5" s="585" t="s">
        <v>713</v>
      </c>
      <c r="G5" s="585"/>
      <c r="H5" s="585"/>
      <c r="I5" s="585"/>
      <c r="J5" s="585"/>
      <c r="K5" s="585"/>
      <c r="L5" s="585"/>
    </row>
    <row r="6" spans="2:16" x14ac:dyDescent="0.35">
      <c r="F6" s="585"/>
      <c r="G6" s="585"/>
      <c r="H6" s="585"/>
      <c r="I6" s="585"/>
      <c r="J6" s="585"/>
      <c r="K6" s="585"/>
      <c r="L6" s="585"/>
      <c r="P6" s="145" t="s">
        <v>880</v>
      </c>
    </row>
    <row r="7" spans="2:16" ht="15" thickBot="1" x14ac:dyDescent="0.4">
      <c r="P7" s="145" t="s">
        <v>881</v>
      </c>
    </row>
    <row r="8" spans="2:16" ht="21.5" thickBot="1" x14ac:dyDescent="0.4">
      <c r="B8" s="586" t="s">
        <v>831</v>
      </c>
      <c r="C8" s="587"/>
      <c r="D8" s="587"/>
      <c r="E8" s="587"/>
      <c r="F8" s="220" t="s">
        <v>882</v>
      </c>
      <c r="G8" s="220" t="s">
        <v>883</v>
      </c>
      <c r="H8" s="220" t="s">
        <v>884</v>
      </c>
      <c r="I8" s="220" t="s">
        <v>885</v>
      </c>
      <c r="J8" s="220" t="s">
        <v>834</v>
      </c>
      <c r="K8" s="220" t="s">
        <v>886</v>
      </c>
      <c r="L8" s="221" t="s">
        <v>887</v>
      </c>
      <c r="P8" s="148" t="s">
        <v>888</v>
      </c>
    </row>
    <row r="9" spans="2:16" ht="4.5" customHeight="1" x14ac:dyDescent="0.35">
      <c r="B9" s="588"/>
      <c r="C9" s="589"/>
      <c r="D9" s="589"/>
      <c r="E9" s="589"/>
      <c r="F9" s="589"/>
      <c r="G9" s="589"/>
      <c r="H9" s="589"/>
      <c r="I9" s="589"/>
      <c r="J9" s="589"/>
      <c r="K9" s="589"/>
      <c r="L9" s="590"/>
      <c r="P9" s="149" t="s">
        <v>889</v>
      </c>
    </row>
    <row r="10" spans="2:16" x14ac:dyDescent="0.35">
      <c r="B10" s="580" t="s">
        <v>835</v>
      </c>
      <c r="C10" s="581"/>
      <c r="D10" s="581"/>
      <c r="E10" s="581"/>
      <c r="F10" s="225" t="str">
        <f>IF('GCs Input, Staff &amp; IT Costs'!C10=TRUE,'GCs Input, Staff &amp; IT Costs'!E10,"None")</f>
        <v>None</v>
      </c>
      <c r="G10" s="225" t="s">
        <v>836</v>
      </c>
      <c r="H10" s="224">
        <f>IF(F10="None",0,'GCs Input, Staff &amp; IT Costs'!F10)</f>
        <v>0</v>
      </c>
      <c r="I10" s="222">
        <f>+H10*10</f>
        <v>0</v>
      </c>
      <c r="J10" s="224">
        <f>IF('Project Info Input'!C25=0,0,+I10)</f>
        <v>0</v>
      </c>
      <c r="K10" s="222"/>
      <c r="L10" s="223">
        <f>+J10+K10</f>
        <v>0</v>
      </c>
      <c r="P10" s="142" t="str">
        <f t="shared" ref="P10:P78" si="0">IF(L10=0,"remove","keep")</f>
        <v>remove</v>
      </c>
    </row>
    <row r="11" spans="2:16" ht="4.5" customHeight="1" x14ac:dyDescent="0.35">
      <c r="B11" s="588"/>
      <c r="C11" s="589"/>
      <c r="D11" s="589"/>
      <c r="E11" s="589"/>
      <c r="F11" s="589"/>
      <c r="G11" s="589"/>
      <c r="H11" s="589"/>
      <c r="I11" s="589"/>
      <c r="J11" s="589"/>
      <c r="K11" s="589"/>
      <c r="L11" s="590"/>
      <c r="P11" s="149" t="s">
        <v>889</v>
      </c>
    </row>
    <row r="12" spans="2:16" x14ac:dyDescent="0.35">
      <c r="B12" s="580" t="s">
        <v>840</v>
      </c>
      <c r="C12" s="581"/>
      <c r="D12" s="581"/>
      <c r="E12" s="581"/>
      <c r="F12" s="226" t="str">
        <f>IF('GCs Input, Staff &amp; IT Costs'!C14=TRUE,'GCs Input, Staff &amp; IT Costs'!E14,"None")</f>
        <v>None</v>
      </c>
      <c r="G12" s="225" t="s">
        <v>836</v>
      </c>
      <c r="H12" s="224">
        <f>IF(F12="None",0,'GCs Input, Staff &amp; IT Costs'!F14)</f>
        <v>0</v>
      </c>
      <c r="I12" s="222">
        <f>IFERROR(+H12*1.4,0)</f>
        <v>0</v>
      </c>
      <c r="J12" s="224">
        <f>IF('Project Info Input'!C25=0,0,IFERROR(I12*F12,0))</f>
        <v>0</v>
      </c>
      <c r="K12" s="222"/>
      <c r="L12" s="223">
        <f>+J12+K12</f>
        <v>0</v>
      </c>
      <c r="P12" s="142" t="str">
        <f>IF(L12=0,"remove","keep")</f>
        <v>remove</v>
      </c>
    </row>
    <row r="13" spans="2:16" ht="4.5" customHeight="1" x14ac:dyDescent="0.35">
      <c r="B13" s="588"/>
      <c r="C13" s="589"/>
      <c r="D13" s="589"/>
      <c r="E13" s="589"/>
      <c r="F13" s="589"/>
      <c r="G13" s="589"/>
      <c r="H13" s="589"/>
      <c r="I13" s="589"/>
      <c r="J13" s="589"/>
      <c r="K13" s="589"/>
      <c r="L13" s="590"/>
      <c r="P13" s="149" t="s">
        <v>889</v>
      </c>
    </row>
    <row r="14" spans="2:16" x14ac:dyDescent="0.35">
      <c r="B14" s="580" t="s">
        <v>837</v>
      </c>
      <c r="C14" s="581"/>
      <c r="D14" s="581"/>
      <c r="E14" s="581"/>
      <c r="F14" s="226" t="str">
        <f>IF('GCs Input, Staff &amp; IT Costs'!C11=TRUE,'GCs Input, Staff &amp; IT Costs'!E11,"None")</f>
        <v>None</v>
      </c>
      <c r="G14" s="225">
        <f>'GCs Input, Staff &amp; IT Costs'!D11</f>
        <v>0</v>
      </c>
      <c r="H14" s="224">
        <f>IF(F14="None",0,'GCs Input, Staff &amp; IT Costs'!F11)</f>
        <v>0</v>
      </c>
      <c r="I14" s="222">
        <f>IFERROR(+H14*1.4,0)</f>
        <v>0</v>
      </c>
      <c r="J14" s="224">
        <f>IF('Project Info Input'!C25=0,0,+I14)</f>
        <v>0</v>
      </c>
      <c r="K14" s="222"/>
      <c r="L14" s="223">
        <f>IFERROR(J14*G14,0)+(K14*G14)</f>
        <v>0</v>
      </c>
      <c r="P14" s="142" t="str">
        <f t="shared" si="0"/>
        <v>remove</v>
      </c>
    </row>
    <row r="15" spans="2:16" ht="4.5" customHeight="1" x14ac:dyDescent="0.35">
      <c r="B15" s="588"/>
      <c r="C15" s="589"/>
      <c r="D15" s="589"/>
      <c r="E15" s="589"/>
      <c r="F15" s="589"/>
      <c r="G15" s="589"/>
      <c r="H15" s="589"/>
      <c r="I15" s="589"/>
      <c r="J15" s="589"/>
      <c r="K15" s="589"/>
      <c r="L15" s="590"/>
      <c r="P15" s="149" t="s">
        <v>889</v>
      </c>
    </row>
    <row r="16" spans="2:16" x14ac:dyDescent="0.35">
      <c r="B16" s="580" t="s">
        <v>838</v>
      </c>
      <c r="C16" s="581"/>
      <c r="D16" s="581"/>
      <c r="E16" s="581"/>
      <c r="F16" s="226" t="str">
        <f>IF('GCs Input, Staff &amp; IT Costs'!C12=TRUE,'GCs Input, Staff &amp; IT Costs'!E12,"None")</f>
        <v>None</v>
      </c>
      <c r="G16" s="225">
        <f>'GCs Input, Staff &amp; IT Costs'!D12</f>
        <v>0</v>
      </c>
      <c r="H16" s="224">
        <f>IF(F16="None",0,'GCs Input, Staff &amp; IT Costs'!F12)</f>
        <v>0</v>
      </c>
      <c r="I16" s="222">
        <f>IFERROR(+H16*1.4,0)</f>
        <v>0</v>
      </c>
      <c r="J16" s="224">
        <f>IF('Project Info Input'!C25=0,0,+I16)</f>
        <v>0</v>
      </c>
      <c r="K16" s="222"/>
      <c r="L16" s="223">
        <f>IFERROR(J16*G16,0)+(K16*G16)</f>
        <v>0</v>
      </c>
      <c r="P16" s="142" t="str">
        <f t="shared" si="0"/>
        <v>remove</v>
      </c>
    </row>
    <row r="17" spans="2:16" ht="4.5" customHeight="1" x14ac:dyDescent="0.35">
      <c r="B17" s="588"/>
      <c r="C17" s="589"/>
      <c r="D17" s="589"/>
      <c r="E17" s="589"/>
      <c r="F17" s="589"/>
      <c r="G17" s="589"/>
      <c r="H17" s="589"/>
      <c r="I17" s="589"/>
      <c r="J17" s="589"/>
      <c r="K17" s="589"/>
      <c r="L17" s="590"/>
      <c r="P17" s="149" t="s">
        <v>889</v>
      </c>
    </row>
    <row r="18" spans="2:16" x14ac:dyDescent="0.35">
      <c r="B18" s="580" t="s">
        <v>839</v>
      </c>
      <c r="C18" s="581"/>
      <c r="D18" s="581"/>
      <c r="E18" s="581"/>
      <c r="F18" s="226" t="str">
        <f>IF('GCs Input, Staff &amp; IT Costs'!C13=TRUE,'GCs Input, Staff &amp; IT Costs'!E13,"None")</f>
        <v>None</v>
      </c>
      <c r="G18" s="225">
        <f>'GCs Input, Staff &amp; IT Costs'!D13</f>
        <v>0</v>
      </c>
      <c r="H18" s="224">
        <f>IF(F18="None",0,'GCs Input, Staff &amp; IT Costs'!F13)</f>
        <v>0</v>
      </c>
      <c r="I18" s="222">
        <f>IFERROR(+H18*1.4,0)</f>
        <v>0</v>
      </c>
      <c r="J18" s="224">
        <f>IF('Project Info Input'!C25=0,0,+I18)</f>
        <v>0</v>
      </c>
      <c r="K18" s="222"/>
      <c r="L18" s="223">
        <f>IFERROR(J18*G18,0)+(K18*G18)</f>
        <v>0</v>
      </c>
      <c r="P18" s="142" t="str">
        <f t="shared" si="0"/>
        <v>remove</v>
      </c>
    </row>
    <row r="19" spans="2:16" ht="4.5" customHeight="1" x14ac:dyDescent="0.35">
      <c r="B19" s="588"/>
      <c r="C19" s="589"/>
      <c r="D19" s="589"/>
      <c r="E19" s="589"/>
      <c r="F19" s="589"/>
      <c r="G19" s="589"/>
      <c r="H19" s="589"/>
      <c r="I19" s="589"/>
      <c r="J19" s="589"/>
      <c r="K19" s="589"/>
      <c r="L19" s="590"/>
      <c r="P19" s="149" t="s">
        <v>889</v>
      </c>
    </row>
    <row r="20" spans="2:16" x14ac:dyDescent="0.35">
      <c r="B20" s="582" t="s">
        <v>841</v>
      </c>
      <c r="C20" s="583"/>
      <c r="D20" s="583"/>
      <c r="E20" s="583"/>
      <c r="F20" s="229" t="str">
        <f>IF('GCs Input, Staff &amp; IT Costs'!C16=TRUE,'GCs Input, Staff &amp; IT Costs'!E16,"None")</f>
        <v>None</v>
      </c>
      <c r="G20" s="230">
        <f>G21</f>
        <v>0</v>
      </c>
      <c r="H20" s="231">
        <f>SUM(H21:H26)</f>
        <v>0</v>
      </c>
      <c r="I20" s="231"/>
      <c r="J20" s="231">
        <f>IF('Project Info Input'!C25=0,0,SUM(J21:J26))</f>
        <v>0</v>
      </c>
      <c r="K20" s="231">
        <f>SUM(K21:K26)</f>
        <v>0</v>
      </c>
      <c r="L20" s="232">
        <f>SUM(L21:L26)</f>
        <v>0</v>
      </c>
      <c r="P20" s="142" t="str">
        <f>IF(L21=0,"remove","keep")</f>
        <v>remove</v>
      </c>
    </row>
    <row r="21" spans="2:16" x14ac:dyDescent="0.35">
      <c r="B21" s="578" t="s">
        <v>950</v>
      </c>
      <c r="C21" s="579"/>
      <c r="D21" s="579"/>
      <c r="E21" s="579"/>
      <c r="F21" s="141"/>
      <c r="G21" s="150">
        <f>'GCs Input, Staff &amp; IT Costs'!D16</f>
        <v>0</v>
      </c>
      <c r="H21" s="151">
        <f>IF(F20="None",0,'GCs Input, Staff &amp; IT Costs'!F16)</f>
        <v>0</v>
      </c>
      <c r="I21" s="151">
        <f>IFERROR(+H21*1.4,0)</f>
        <v>0</v>
      </c>
      <c r="J21" s="151">
        <f>IFERROR(I21*F20,0)</f>
        <v>0</v>
      </c>
      <c r="K21" s="151"/>
      <c r="L21" s="152">
        <f>IFERROR(J21*G21,0)+(K21*G21)</f>
        <v>0</v>
      </c>
      <c r="P21" s="142"/>
    </row>
    <row r="22" spans="2:16" x14ac:dyDescent="0.35">
      <c r="B22" s="578" t="s">
        <v>853</v>
      </c>
      <c r="C22" s="579"/>
      <c r="D22" s="579"/>
      <c r="E22" s="579"/>
      <c r="F22" s="150"/>
      <c r="G22" s="150">
        <f>G21</f>
        <v>0</v>
      </c>
      <c r="H22" s="151">
        <f>IF(F20="None",0,'GCs Input, Staff &amp; IT Costs'!$C$36)</f>
        <v>0</v>
      </c>
      <c r="I22" s="151"/>
      <c r="J22" s="151">
        <f>IFERROR(+H22*$F$20,0)</f>
        <v>0</v>
      </c>
      <c r="K22" s="151"/>
      <c r="L22" s="152">
        <f t="shared" ref="L22:L26" si="1">IFERROR(J22*G22,0)+(K22*G22)</f>
        <v>0</v>
      </c>
      <c r="P22" s="142" t="str">
        <f t="shared" si="0"/>
        <v>remove</v>
      </c>
    </row>
    <row r="23" spans="2:16" x14ac:dyDescent="0.35">
      <c r="B23" s="578" t="s">
        <v>854</v>
      </c>
      <c r="C23" s="579"/>
      <c r="D23" s="579"/>
      <c r="E23" s="579"/>
      <c r="F23" s="150"/>
      <c r="G23" s="150">
        <f>G22</f>
        <v>0</v>
      </c>
      <c r="H23" s="151">
        <f>IF(F20="None",0,'GCs Input, Staff &amp; IT Costs'!$C$37)</f>
        <v>0</v>
      </c>
      <c r="I23" s="151"/>
      <c r="J23" s="151">
        <f>IFERROR(+H23*$F$20,0)</f>
        <v>0</v>
      </c>
      <c r="K23" s="151"/>
      <c r="L23" s="152">
        <f t="shared" si="1"/>
        <v>0</v>
      </c>
      <c r="P23" s="142" t="str">
        <f t="shared" si="0"/>
        <v>remove</v>
      </c>
    </row>
    <row r="24" spans="2:16" x14ac:dyDescent="0.35">
      <c r="B24" s="578" t="s">
        <v>855</v>
      </c>
      <c r="C24" s="579"/>
      <c r="D24" s="579"/>
      <c r="E24" s="579"/>
      <c r="F24" s="150"/>
      <c r="G24" s="150">
        <f>G23</f>
        <v>0</v>
      </c>
      <c r="H24" s="151">
        <f>IF(F20="None",0,'GCs Input, Staff &amp; IT Costs'!$C$38)</f>
        <v>0</v>
      </c>
      <c r="I24" s="151"/>
      <c r="J24" s="151">
        <f>IFERROR(+H24*$F$20,0)</f>
        <v>0</v>
      </c>
      <c r="K24" s="151"/>
      <c r="L24" s="152">
        <f t="shared" si="1"/>
        <v>0</v>
      </c>
      <c r="P24" s="142" t="str">
        <f t="shared" si="0"/>
        <v>remove</v>
      </c>
    </row>
    <row r="25" spans="2:16" x14ac:dyDescent="0.35">
      <c r="B25" s="578" t="s">
        <v>856</v>
      </c>
      <c r="C25" s="579"/>
      <c r="D25" s="579"/>
      <c r="E25" s="579"/>
      <c r="F25" s="150"/>
      <c r="G25" s="150">
        <f>G24</f>
        <v>0</v>
      </c>
      <c r="H25" s="151">
        <f>IF(F20="None",0,'GCs Input, Staff &amp; IT Costs'!$C$39)</f>
        <v>0</v>
      </c>
      <c r="I25" s="151"/>
      <c r="J25" s="151">
        <f>IFERROR(+H25,0)</f>
        <v>0</v>
      </c>
      <c r="K25" s="151"/>
      <c r="L25" s="152">
        <f t="shared" si="1"/>
        <v>0</v>
      </c>
      <c r="P25" s="142" t="str">
        <f t="shared" si="0"/>
        <v>remove</v>
      </c>
    </row>
    <row r="26" spans="2:16" x14ac:dyDescent="0.35">
      <c r="B26" s="591" t="s">
        <v>890</v>
      </c>
      <c r="C26" s="592"/>
      <c r="D26" s="592"/>
      <c r="E26" s="592"/>
      <c r="F26" s="154"/>
      <c r="G26" s="154">
        <f>G25</f>
        <v>0</v>
      </c>
      <c r="H26" s="155">
        <f>IF(F20="None",0,'GCs Input, Staff &amp; IT Costs'!$C$41)</f>
        <v>0</v>
      </c>
      <c r="I26" s="155"/>
      <c r="J26" s="155">
        <f>IFERROR(+H26*$F$20,0)</f>
        <v>0</v>
      </c>
      <c r="K26" s="155"/>
      <c r="L26" s="233">
        <f t="shared" si="1"/>
        <v>0</v>
      </c>
      <c r="P26" s="142" t="str">
        <f t="shared" si="0"/>
        <v>remove</v>
      </c>
    </row>
    <row r="27" spans="2:16" ht="4.5" customHeight="1" x14ac:dyDescent="0.35">
      <c r="B27" s="588"/>
      <c r="C27" s="589"/>
      <c r="D27" s="589"/>
      <c r="E27" s="589"/>
      <c r="F27" s="589"/>
      <c r="G27" s="589"/>
      <c r="H27" s="589"/>
      <c r="I27" s="589"/>
      <c r="J27" s="589"/>
      <c r="K27" s="589"/>
      <c r="L27" s="590"/>
      <c r="P27" s="149" t="s">
        <v>889</v>
      </c>
    </row>
    <row r="28" spans="2:16" x14ac:dyDescent="0.35">
      <c r="B28" s="582" t="s">
        <v>842</v>
      </c>
      <c r="C28" s="583"/>
      <c r="D28" s="583"/>
      <c r="E28" s="583"/>
      <c r="F28" s="229" t="str">
        <f>IF('GCs Input, Staff &amp; IT Costs'!C18=TRUE,'GCs Input, Staff &amp; IT Costs'!E18,"None")</f>
        <v>None</v>
      </c>
      <c r="G28" s="230">
        <f>G29</f>
        <v>0</v>
      </c>
      <c r="H28" s="231">
        <f>SUM(H29:H34)</f>
        <v>0</v>
      </c>
      <c r="I28" s="231"/>
      <c r="J28" s="231">
        <f>IF('Project Info Input'!C25=0,0,SUM(J29:J34))</f>
        <v>0</v>
      </c>
      <c r="K28" s="231">
        <f>SUM(K29:K34)</f>
        <v>0</v>
      </c>
      <c r="L28" s="232">
        <f>SUM(L29:L34)</f>
        <v>0</v>
      </c>
      <c r="P28" s="142" t="str">
        <f>IF(L29=0,"remove","keep")</f>
        <v>remove</v>
      </c>
    </row>
    <row r="29" spans="2:16" x14ac:dyDescent="0.35">
      <c r="B29" s="578" t="s">
        <v>950</v>
      </c>
      <c r="C29" s="579"/>
      <c r="D29" s="579"/>
      <c r="E29" s="579"/>
      <c r="F29" s="141"/>
      <c r="G29" s="150">
        <f>'GCs Input, Staff &amp; IT Costs'!D18</f>
        <v>0</v>
      </c>
      <c r="H29" s="151">
        <f>IF(F28="None",0,'GCs Input, Staff &amp; IT Costs'!F18)</f>
        <v>0</v>
      </c>
      <c r="I29" s="151">
        <f>IFERROR(+H29*1.4,0)</f>
        <v>0</v>
      </c>
      <c r="J29" s="151">
        <f>IFERROR(I29*F28,0)</f>
        <v>0</v>
      </c>
      <c r="K29" s="151"/>
      <c r="L29" s="152">
        <f>IFERROR(J29*G29,0)+(K29*G29)</f>
        <v>0</v>
      </c>
      <c r="P29" s="142"/>
    </row>
    <row r="30" spans="2:16" x14ac:dyDescent="0.35">
      <c r="B30" s="578" t="s">
        <v>853</v>
      </c>
      <c r="C30" s="579"/>
      <c r="D30" s="579"/>
      <c r="E30" s="579"/>
      <c r="F30" s="150"/>
      <c r="G30" s="150">
        <f>G29</f>
        <v>0</v>
      </c>
      <c r="H30" s="151">
        <f>IF(F28="None",0,'GCs Input, Staff &amp; IT Costs'!$C$36)</f>
        <v>0</v>
      </c>
      <c r="I30" s="151"/>
      <c r="J30" s="151">
        <f>IFERROR(+H30*$F$28,0)</f>
        <v>0</v>
      </c>
      <c r="K30" s="151"/>
      <c r="L30" s="152">
        <f t="shared" ref="L30:L34" si="2">IFERROR(J30*G30,0)+(K30*G30)</f>
        <v>0</v>
      </c>
      <c r="P30" s="142" t="str">
        <f t="shared" si="0"/>
        <v>remove</v>
      </c>
    </row>
    <row r="31" spans="2:16" x14ac:dyDescent="0.35">
      <c r="B31" s="578" t="s">
        <v>854</v>
      </c>
      <c r="C31" s="579"/>
      <c r="D31" s="579"/>
      <c r="E31" s="579"/>
      <c r="F31" s="150"/>
      <c r="G31" s="150">
        <f>G30</f>
        <v>0</v>
      </c>
      <c r="H31" s="151">
        <f>IF(F28="None",0,'GCs Input, Staff &amp; IT Costs'!$C$37)</f>
        <v>0</v>
      </c>
      <c r="I31" s="151"/>
      <c r="J31" s="151">
        <f>IFERROR(+H31*$F$28,0)</f>
        <v>0</v>
      </c>
      <c r="K31" s="151"/>
      <c r="L31" s="152">
        <f t="shared" si="2"/>
        <v>0</v>
      </c>
      <c r="P31" s="142" t="str">
        <f t="shared" si="0"/>
        <v>remove</v>
      </c>
    </row>
    <row r="32" spans="2:16" x14ac:dyDescent="0.35">
      <c r="B32" s="578" t="s">
        <v>855</v>
      </c>
      <c r="C32" s="579"/>
      <c r="D32" s="579"/>
      <c r="E32" s="579"/>
      <c r="F32" s="150"/>
      <c r="G32" s="150">
        <f>G31</f>
        <v>0</v>
      </c>
      <c r="H32" s="151">
        <f>IF(F28="None",0,'GCs Input, Staff &amp; IT Costs'!$C$38)</f>
        <v>0</v>
      </c>
      <c r="I32" s="151"/>
      <c r="J32" s="151">
        <f>IFERROR(+H32*$F$28,0)</f>
        <v>0</v>
      </c>
      <c r="K32" s="151"/>
      <c r="L32" s="152">
        <f t="shared" si="2"/>
        <v>0</v>
      </c>
      <c r="P32" s="142" t="str">
        <f t="shared" si="0"/>
        <v>remove</v>
      </c>
    </row>
    <row r="33" spans="2:16" x14ac:dyDescent="0.35">
      <c r="B33" s="578" t="s">
        <v>856</v>
      </c>
      <c r="C33" s="579"/>
      <c r="D33" s="579"/>
      <c r="E33" s="579"/>
      <c r="F33" s="150"/>
      <c r="G33" s="150">
        <f>G32</f>
        <v>0</v>
      </c>
      <c r="H33" s="151">
        <f>IF(F28="None",0,'GCs Input, Staff &amp; IT Costs'!$C$39)</f>
        <v>0</v>
      </c>
      <c r="I33" s="151"/>
      <c r="J33" s="151">
        <f>IFERROR(+H33,0)</f>
        <v>0</v>
      </c>
      <c r="K33" s="151"/>
      <c r="L33" s="152">
        <f t="shared" si="2"/>
        <v>0</v>
      </c>
      <c r="P33" s="142" t="str">
        <f t="shared" si="0"/>
        <v>remove</v>
      </c>
    </row>
    <row r="34" spans="2:16" x14ac:dyDescent="0.35">
      <c r="B34" s="591" t="s">
        <v>890</v>
      </c>
      <c r="C34" s="592"/>
      <c r="D34" s="592"/>
      <c r="E34" s="592"/>
      <c r="F34" s="154"/>
      <c r="G34" s="154">
        <f>G33</f>
        <v>0</v>
      </c>
      <c r="H34" s="155">
        <f>IF(F28="None",0,'GCs Input, Staff &amp; IT Costs'!$C$42)</f>
        <v>0</v>
      </c>
      <c r="I34" s="155"/>
      <c r="J34" s="155">
        <f>IFERROR(+H34*$F$28,0)</f>
        <v>0</v>
      </c>
      <c r="K34" s="155"/>
      <c r="L34" s="233">
        <f t="shared" si="2"/>
        <v>0</v>
      </c>
      <c r="P34" s="142" t="str">
        <f t="shared" si="0"/>
        <v>remove</v>
      </c>
    </row>
    <row r="35" spans="2:16" ht="4.5" customHeight="1" x14ac:dyDescent="0.35">
      <c r="B35" s="596"/>
      <c r="C35" s="597"/>
      <c r="D35" s="597"/>
      <c r="E35" s="597"/>
      <c r="F35" s="597"/>
      <c r="G35" s="597"/>
      <c r="H35" s="597"/>
      <c r="I35" s="597"/>
      <c r="J35" s="597"/>
      <c r="K35" s="597"/>
      <c r="L35" s="598"/>
      <c r="P35" s="149" t="s">
        <v>889</v>
      </c>
    </row>
    <row r="36" spans="2:16" x14ac:dyDescent="0.35">
      <c r="B36" s="582" t="s">
        <v>843</v>
      </c>
      <c r="C36" s="583"/>
      <c r="D36" s="583"/>
      <c r="E36" s="583"/>
      <c r="F36" s="229" t="str">
        <f>IF('GCs Input, Staff &amp; IT Costs'!C19=TRUE,'GCs Input, Staff &amp; IT Costs'!E19,"None")</f>
        <v>None</v>
      </c>
      <c r="G36" s="230">
        <f>G37</f>
        <v>0</v>
      </c>
      <c r="H36" s="231">
        <f>SUM(H37:H42)</f>
        <v>0</v>
      </c>
      <c r="I36" s="231"/>
      <c r="J36" s="231">
        <f>IF('Project Info Input'!C25=0,0,SUM(J37:J42))</f>
        <v>0</v>
      </c>
      <c r="K36" s="231">
        <f>SUM(K37:K42)</f>
        <v>0</v>
      </c>
      <c r="L36" s="232">
        <f>SUM(L37:L42)</f>
        <v>0</v>
      </c>
      <c r="P36" s="142" t="str">
        <f>IF(L37=0,"remove","keep")</f>
        <v>remove</v>
      </c>
    </row>
    <row r="37" spans="2:16" x14ac:dyDescent="0.35">
      <c r="B37" s="578" t="s">
        <v>950</v>
      </c>
      <c r="C37" s="579"/>
      <c r="D37" s="579"/>
      <c r="E37" s="579"/>
      <c r="F37" s="141"/>
      <c r="G37" s="150">
        <f>'GCs Input, Staff &amp; IT Costs'!D19</f>
        <v>0</v>
      </c>
      <c r="H37" s="151">
        <f>IF(F36="None",0,'GCs Input, Staff &amp; IT Costs'!F19)</f>
        <v>0</v>
      </c>
      <c r="I37" s="151">
        <f>IFERROR(+H37*1.4,0)</f>
        <v>0</v>
      </c>
      <c r="J37" s="151">
        <f>IFERROR(I37*F36,0)</f>
        <v>0</v>
      </c>
      <c r="K37" s="151"/>
      <c r="L37" s="152">
        <f>IFERROR(J37*G37,0)+(K37*G37)</f>
        <v>0</v>
      </c>
      <c r="P37" s="142"/>
    </row>
    <row r="38" spans="2:16" x14ac:dyDescent="0.35">
      <c r="B38" s="578" t="s">
        <v>853</v>
      </c>
      <c r="C38" s="579"/>
      <c r="D38" s="579"/>
      <c r="E38" s="579"/>
      <c r="F38" s="150"/>
      <c r="G38" s="150">
        <f>G37</f>
        <v>0</v>
      </c>
      <c r="H38" s="151">
        <f>IF(F36="None",0,'GCs Input, Staff &amp; IT Costs'!$C$36)</f>
        <v>0</v>
      </c>
      <c r="I38" s="151"/>
      <c r="J38" s="151">
        <f>IFERROR(+H38*$F$36,0)</f>
        <v>0</v>
      </c>
      <c r="K38" s="151"/>
      <c r="L38" s="152">
        <f t="shared" ref="L38:L42" si="3">IFERROR(J38*G38,0)+(K38*G38)</f>
        <v>0</v>
      </c>
      <c r="P38" s="142" t="str">
        <f t="shared" si="0"/>
        <v>remove</v>
      </c>
    </row>
    <row r="39" spans="2:16" x14ac:dyDescent="0.35">
      <c r="B39" s="578" t="s">
        <v>854</v>
      </c>
      <c r="C39" s="579"/>
      <c r="D39" s="579"/>
      <c r="E39" s="579"/>
      <c r="F39" s="150"/>
      <c r="G39" s="150">
        <f>G38</f>
        <v>0</v>
      </c>
      <c r="H39" s="151">
        <f>IF(F36="None",0,'GCs Input, Staff &amp; IT Costs'!$C$37)</f>
        <v>0</v>
      </c>
      <c r="I39" s="151"/>
      <c r="J39" s="151">
        <f>IFERROR(+H39*$F$36,0)</f>
        <v>0</v>
      </c>
      <c r="K39" s="151"/>
      <c r="L39" s="152">
        <f t="shared" si="3"/>
        <v>0</v>
      </c>
      <c r="P39" s="142" t="str">
        <f t="shared" si="0"/>
        <v>remove</v>
      </c>
    </row>
    <row r="40" spans="2:16" x14ac:dyDescent="0.35">
      <c r="B40" s="578" t="s">
        <v>855</v>
      </c>
      <c r="C40" s="579"/>
      <c r="D40" s="579"/>
      <c r="E40" s="579"/>
      <c r="F40" s="150"/>
      <c r="G40" s="150">
        <f>G39</f>
        <v>0</v>
      </c>
      <c r="H40" s="151">
        <f>IF(F36="None",0,'GCs Input, Staff &amp; IT Costs'!$C$38)</f>
        <v>0</v>
      </c>
      <c r="I40" s="151"/>
      <c r="J40" s="151">
        <f>IFERROR(+H40*$F$36,0)</f>
        <v>0</v>
      </c>
      <c r="K40" s="151"/>
      <c r="L40" s="152">
        <f t="shared" si="3"/>
        <v>0</v>
      </c>
      <c r="P40" s="142" t="str">
        <f t="shared" si="0"/>
        <v>remove</v>
      </c>
    </row>
    <row r="41" spans="2:16" x14ac:dyDescent="0.35">
      <c r="B41" s="578" t="s">
        <v>856</v>
      </c>
      <c r="C41" s="579"/>
      <c r="D41" s="579"/>
      <c r="E41" s="579"/>
      <c r="F41" s="150"/>
      <c r="G41" s="150">
        <f>G40</f>
        <v>0</v>
      </c>
      <c r="H41" s="151">
        <f>IF(F36="None",0,'GCs Input, Staff &amp; IT Costs'!$C$39)</f>
        <v>0</v>
      </c>
      <c r="I41" s="151"/>
      <c r="J41" s="151">
        <f>IFERROR(+H41,0)</f>
        <v>0</v>
      </c>
      <c r="K41" s="151"/>
      <c r="L41" s="152">
        <f t="shared" si="3"/>
        <v>0</v>
      </c>
      <c r="P41" s="142" t="str">
        <f t="shared" si="0"/>
        <v>remove</v>
      </c>
    </row>
    <row r="42" spans="2:16" x14ac:dyDescent="0.35">
      <c r="B42" s="591" t="s">
        <v>890</v>
      </c>
      <c r="C42" s="592"/>
      <c r="D42" s="592"/>
      <c r="E42" s="592"/>
      <c r="F42" s="154"/>
      <c r="G42" s="154">
        <f>G41</f>
        <v>0</v>
      </c>
      <c r="H42" s="155">
        <f>IF(F36="None",0,'GCs Input, Staff &amp; IT Costs'!$C$43)</f>
        <v>0</v>
      </c>
      <c r="I42" s="155"/>
      <c r="J42" s="155">
        <f>IFERROR(+H42*$F$36,0)</f>
        <v>0</v>
      </c>
      <c r="K42" s="155"/>
      <c r="L42" s="233">
        <f t="shared" si="3"/>
        <v>0</v>
      </c>
      <c r="P42" s="142" t="str">
        <f t="shared" si="0"/>
        <v>remove</v>
      </c>
    </row>
    <row r="43" spans="2:16" ht="4.5" customHeight="1" x14ac:dyDescent="0.35">
      <c r="B43" s="593"/>
      <c r="C43" s="594"/>
      <c r="D43" s="594"/>
      <c r="E43" s="594"/>
      <c r="F43" s="594"/>
      <c r="G43" s="594"/>
      <c r="H43" s="594"/>
      <c r="I43" s="594"/>
      <c r="J43" s="594"/>
      <c r="K43" s="594"/>
      <c r="L43" s="595"/>
      <c r="P43" s="149" t="s">
        <v>889</v>
      </c>
    </row>
    <row r="44" spans="2:16" x14ac:dyDescent="0.35">
      <c r="B44" s="582" t="s">
        <v>858</v>
      </c>
      <c r="C44" s="583"/>
      <c r="D44" s="583"/>
      <c r="E44" s="583"/>
      <c r="F44" s="229" t="str">
        <f>IF('GCs Input, Staff &amp; IT Costs'!C20=TRUE,'GCs Input, Staff &amp; IT Costs'!E20,"None")</f>
        <v>None</v>
      </c>
      <c r="G44" s="230">
        <f>G45</f>
        <v>0</v>
      </c>
      <c r="H44" s="231">
        <f>SUM(H45:H50)</f>
        <v>0</v>
      </c>
      <c r="I44" s="231"/>
      <c r="J44" s="231">
        <f>IF('Project Info Input'!C25=0,0,SUM(J45:J50))</f>
        <v>0</v>
      </c>
      <c r="K44" s="231">
        <f>SUM(K45:K50)</f>
        <v>0</v>
      </c>
      <c r="L44" s="232">
        <f>SUM(L45:L50)</f>
        <v>0</v>
      </c>
      <c r="P44" s="142" t="str">
        <f>IF(L45=0,"remove","keep")</f>
        <v>remove</v>
      </c>
    </row>
    <row r="45" spans="2:16" x14ac:dyDescent="0.35">
      <c r="B45" s="578" t="s">
        <v>950</v>
      </c>
      <c r="C45" s="579"/>
      <c r="D45" s="579"/>
      <c r="E45" s="579"/>
      <c r="F45" s="141"/>
      <c r="G45" s="150">
        <f>'GCs Input, Staff &amp; IT Costs'!D20</f>
        <v>0</v>
      </c>
      <c r="H45" s="151">
        <f>IF(F44="None",0,'GCs Input, Staff &amp; IT Costs'!F20)</f>
        <v>0</v>
      </c>
      <c r="I45" s="151">
        <f>IFERROR(+H45*1.4,0)</f>
        <v>0</v>
      </c>
      <c r="J45" s="151">
        <f>IFERROR(I45*F44,0)</f>
        <v>0</v>
      </c>
      <c r="K45" s="151"/>
      <c r="L45" s="152">
        <f>IFERROR(J45*G45,0)+(K45*G45)</f>
        <v>0</v>
      </c>
      <c r="P45" s="142"/>
    </row>
    <row r="46" spans="2:16" x14ac:dyDescent="0.35">
      <c r="B46" s="578" t="s">
        <v>853</v>
      </c>
      <c r="C46" s="579"/>
      <c r="D46" s="579"/>
      <c r="E46" s="579"/>
      <c r="F46" s="150"/>
      <c r="G46" s="150">
        <f>G45</f>
        <v>0</v>
      </c>
      <c r="H46" s="151">
        <f>IF(F44="None",0,'GCs Input, Staff &amp; IT Costs'!$C$36)</f>
        <v>0</v>
      </c>
      <c r="I46" s="151"/>
      <c r="J46" s="151">
        <f>IFERROR(+H46*$F$44,0)</f>
        <v>0</v>
      </c>
      <c r="K46" s="151"/>
      <c r="L46" s="152">
        <f t="shared" ref="L46:L50" si="4">IFERROR(J46*G46,0)+(K46*G46)</f>
        <v>0</v>
      </c>
      <c r="P46" s="142" t="str">
        <f t="shared" si="0"/>
        <v>remove</v>
      </c>
    </row>
    <row r="47" spans="2:16" x14ac:dyDescent="0.35">
      <c r="B47" s="578" t="s">
        <v>854</v>
      </c>
      <c r="C47" s="579"/>
      <c r="D47" s="579"/>
      <c r="E47" s="579"/>
      <c r="F47" s="150"/>
      <c r="G47" s="150">
        <f>G46</f>
        <v>0</v>
      </c>
      <c r="H47" s="151">
        <f>IF(F44="None",0,'GCs Input, Staff &amp; IT Costs'!$C$37)</f>
        <v>0</v>
      </c>
      <c r="I47" s="151"/>
      <c r="J47" s="151">
        <f>IFERROR(+H47*$F$44,0)</f>
        <v>0</v>
      </c>
      <c r="K47" s="151"/>
      <c r="L47" s="152">
        <f t="shared" si="4"/>
        <v>0</v>
      </c>
      <c r="P47" s="142" t="str">
        <f t="shared" si="0"/>
        <v>remove</v>
      </c>
    </row>
    <row r="48" spans="2:16" x14ac:dyDescent="0.35">
      <c r="B48" s="578" t="s">
        <v>855</v>
      </c>
      <c r="C48" s="579"/>
      <c r="D48" s="579"/>
      <c r="E48" s="579"/>
      <c r="F48" s="150"/>
      <c r="G48" s="150">
        <f>G47</f>
        <v>0</v>
      </c>
      <c r="H48" s="151">
        <f>IF(F44="None",0,'GCs Input, Staff &amp; IT Costs'!$C$38)</f>
        <v>0</v>
      </c>
      <c r="I48" s="151"/>
      <c r="J48" s="151">
        <f>IFERROR(+H48*$F$44,0)</f>
        <v>0</v>
      </c>
      <c r="K48" s="151"/>
      <c r="L48" s="152">
        <f t="shared" si="4"/>
        <v>0</v>
      </c>
      <c r="P48" s="142" t="str">
        <f t="shared" si="0"/>
        <v>remove</v>
      </c>
    </row>
    <row r="49" spans="2:16" x14ac:dyDescent="0.35">
      <c r="B49" s="578" t="s">
        <v>856</v>
      </c>
      <c r="C49" s="579"/>
      <c r="D49" s="579"/>
      <c r="E49" s="579"/>
      <c r="F49" s="150"/>
      <c r="G49" s="150">
        <f>G48</f>
        <v>0</v>
      </c>
      <c r="H49" s="151">
        <f>IF(F44="None",0,'GCs Input, Staff &amp; IT Costs'!$C$39)</f>
        <v>0</v>
      </c>
      <c r="I49" s="151"/>
      <c r="J49" s="151">
        <f>IFERROR(+H49,0)</f>
        <v>0</v>
      </c>
      <c r="K49" s="151"/>
      <c r="L49" s="152">
        <f t="shared" si="4"/>
        <v>0</v>
      </c>
      <c r="P49" s="142" t="str">
        <f t="shared" si="0"/>
        <v>remove</v>
      </c>
    </row>
    <row r="50" spans="2:16" x14ac:dyDescent="0.35">
      <c r="B50" s="591" t="s">
        <v>890</v>
      </c>
      <c r="C50" s="592"/>
      <c r="D50" s="592"/>
      <c r="E50" s="592"/>
      <c r="F50" s="154"/>
      <c r="G50" s="154">
        <f>G49</f>
        <v>0</v>
      </c>
      <c r="H50" s="155">
        <f>IF(F44="None",0,'GCs Input, Staff &amp; IT Costs'!$C$44)</f>
        <v>0</v>
      </c>
      <c r="I50" s="155"/>
      <c r="J50" s="155">
        <f>IFERROR(+H50*$F$44,0)</f>
        <v>0</v>
      </c>
      <c r="K50" s="155"/>
      <c r="L50" s="233">
        <f t="shared" si="4"/>
        <v>0</v>
      </c>
      <c r="P50" s="142" t="str">
        <f t="shared" si="0"/>
        <v>remove</v>
      </c>
    </row>
    <row r="51" spans="2:16" ht="4.5" customHeight="1" x14ac:dyDescent="0.35">
      <c r="B51" s="588"/>
      <c r="C51" s="589"/>
      <c r="D51" s="589"/>
      <c r="E51" s="589"/>
      <c r="F51" s="589"/>
      <c r="G51" s="589"/>
      <c r="H51" s="589"/>
      <c r="I51" s="589"/>
      <c r="J51" s="589"/>
      <c r="K51" s="589"/>
      <c r="L51" s="590"/>
      <c r="P51" s="149" t="s">
        <v>889</v>
      </c>
    </row>
    <row r="52" spans="2:16" x14ac:dyDescent="0.35">
      <c r="B52" s="582" t="s">
        <v>858</v>
      </c>
      <c r="C52" s="583"/>
      <c r="D52" s="583"/>
      <c r="E52" s="583"/>
      <c r="F52" s="229" t="str">
        <f>IF('GCs Input, Staff &amp; IT Costs'!C21=TRUE,'GCs Input, Staff &amp; IT Costs'!E21,"None")</f>
        <v>None</v>
      </c>
      <c r="G52" s="230">
        <f>G53</f>
        <v>0</v>
      </c>
      <c r="H52" s="231">
        <f>SUM(H53:H58)</f>
        <v>0</v>
      </c>
      <c r="I52" s="231"/>
      <c r="J52" s="231">
        <f>IF('Project Info Input'!C25=0,0,SUM(J53:J58))</f>
        <v>0</v>
      </c>
      <c r="K52" s="231">
        <f>SUM(K53:K58)</f>
        <v>0</v>
      </c>
      <c r="L52" s="232">
        <f>SUM(L53:L58)</f>
        <v>0</v>
      </c>
      <c r="P52" s="142" t="str">
        <f>IF(L53=0,"remove","keep")</f>
        <v>remove</v>
      </c>
    </row>
    <row r="53" spans="2:16" x14ac:dyDescent="0.35">
      <c r="B53" s="578" t="s">
        <v>950</v>
      </c>
      <c r="C53" s="579"/>
      <c r="D53" s="579"/>
      <c r="E53" s="579"/>
      <c r="F53" s="141"/>
      <c r="G53" s="150">
        <f>'GCs Input, Staff &amp; IT Costs'!D21</f>
        <v>0</v>
      </c>
      <c r="H53" s="151">
        <f>IF(F52="None",0,'GCs Input, Staff &amp; IT Costs'!F20)</f>
        <v>0</v>
      </c>
      <c r="I53" s="151">
        <f>IFERROR(+H53*1.4,0)</f>
        <v>0</v>
      </c>
      <c r="J53" s="151">
        <f>IFERROR(I53*F52,0)</f>
        <v>0</v>
      </c>
      <c r="K53" s="151"/>
      <c r="L53" s="152">
        <f>IFERROR(J53*G53,0)+(K53*G53)</f>
        <v>0</v>
      </c>
      <c r="P53" s="142"/>
    </row>
    <row r="54" spans="2:16" x14ac:dyDescent="0.35">
      <c r="B54" s="578" t="s">
        <v>853</v>
      </c>
      <c r="C54" s="579"/>
      <c r="D54" s="579"/>
      <c r="E54" s="579"/>
      <c r="F54" s="150"/>
      <c r="G54" s="150">
        <f>G53</f>
        <v>0</v>
      </c>
      <c r="H54" s="151">
        <f>IF(F52="None",0,'GCs Input, Staff &amp; IT Costs'!$C$36)</f>
        <v>0</v>
      </c>
      <c r="I54" s="151"/>
      <c r="J54" s="151">
        <f>IFERROR(+H54*$F$52,0)</f>
        <v>0</v>
      </c>
      <c r="K54" s="151"/>
      <c r="L54" s="152">
        <f t="shared" ref="L54:L58" si="5">IFERROR(J54*G54,0)+(K54*G54)</f>
        <v>0</v>
      </c>
      <c r="P54" s="142" t="str">
        <f t="shared" si="0"/>
        <v>remove</v>
      </c>
    </row>
    <row r="55" spans="2:16" x14ac:dyDescent="0.35">
      <c r="B55" s="578" t="s">
        <v>854</v>
      </c>
      <c r="C55" s="579"/>
      <c r="D55" s="579"/>
      <c r="E55" s="579"/>
      <c r="F55" s="150"/>
      <c r="G55" s="150">
        <f>G54</f>
        <v>0</v>
      </c>
      <c r="H55" s="151">
        <f>IF(F52="None",0,'GCs Input, Staff &amp; IT Costs'!$C$37)</f>
        <v>0</v>
      </c>
      <c r="I55" s="151"/>
      <c r="J55" s="151">
        <f>IFERROR(+H55*$F$52,0)</f>
        <v>0</v>
      </c>
      <c r="K55" s="151"/>
      <c r="L55" s="152">
        <f t="shared" si="5"/>
        <v>0</v>
      </c>
      <c r="P55" s="142" t="str">
        <f t="shared" si="0"/>
        <v>remove</v>
      </c>
    </row>
    <row r="56" spans="2:16" x14ac:dyDescent="0.35">
      <c r="B56" s="578" t="s">
        <v>855</v>
      </c>
      <c r="C56" s="579"/>
      <c r="D56" s="579"/>
      <c r="E56" s="579"/>
      <c r="F56" s="150"/>
      <c r="G56" s="150">
        <f>G55</f>
        <v>0</v>
      </c>
      <c r="H56" s="151">
        <f>IF(F52="None",0,'GCs Input, Staff &amp; IT Costs'!$C$38)</f>
        <v>0</v>
      </c>
      <c r="I56" s="151"/>
      <c r="J56" s="151">
        <f>IFERROR(+H56*$F$52,0)</f>
        <v>0</v>
      </c>
      <c r="K56" s="151"/>
      <c r="L56" s="152">
        <f t="shared" si="5"/>
        <v>0</v>
      </c>
      <c r="P56" s="142" t="str">
        <f t="shared" si="0"/>
        <v>remove</v>
      </c>
    </row>
    <row r="57" spans="2:16" x14ac:dyDescent="0.35">
      <c r="B57" s="578" t="s">
        <v>856</v>
      </c>
      <c r="C57" s="579"/>
      <c r="D57" s="579"/>
      <c r="E57" s="579"/>
      <c r="F57" s="150"/>
      <c r="G57" s="150">
        <f>G56</f>
        <v>0</v>
      </c>
      <c r="H57" s="151">
        <f>IF(F52="None",0,'GCs Input, Staff &amp; IT Costs'!$C$39)</f>
        <v>0</v>
      </c>
      <c r="I57" s="151"/>
      <c r="J57" s="151">
        <f>IFERROR(+H57,0)</f>
        <v>0</v>
      </c>
      <c r="K57" s="151"/>
      <c r="L57" s="152">
        <f t="shared" si="5"/>
        <v>0</v>
      </c>
      <c r="P57" s="142" t="str">
        <f t="shared" si="0"/>
        <v>remove</v>
      </c>
    </row>
    <row r="58" spans="2:16" x14ac:dyDescent="0.35">
      <c r="B58" s="591" t="s">
        <v>890</v>
      </c>
      <c r="C58" s="592"/>
      <c r="D58" s="592"/>
      <c r="E58" s="592"/>
      <c r="F58" s="154"/>
      <c r="G58" s="154">
        <f>G57</f>
        <v>0</v>
      </c>
      <c r="H58" s="155">
        <f>IF(F52="None",0,'GCs Input, Staff &amp; IT Costs'!$C$44)</f>
        <v>0</v>
      </c>
      <c r="I58" s="155"/>
      <c r="J58" s="155">
        <f>IFERROR(+H58*$F$52,0)</f>
        <v>0</v>
      </c>
      <c r="K58" s="155"/>
      <c r="L58" s="233">
        <f t="shared" si="5"/>
        <v>0</v>
      </c>
      <c r="P58" s="142" t="str">
        <f t="shared" si="0"/>
        <v>remove</v>
      </c>
    </row>
    <row r="59" spans="2:16" ht="4.5" customHeight="1" x14ac:dyDescent="0.35">
      <c r="B59" s="588"/>
      <c r="C59" s="589"/>
      <c r="D59" s="589"/>
      <c r="E59" s="589"/>
      <c r="F59" s="589"/>
      <c r="G59" s="589"/>
      <c r="H59" s="589"/>
      <c r="I59" s="589"/>
      <c r="J59" s="589"/>
      <c r="K59" s="589"/>
      <c r="L59" s="590"/>
      <c r="P59" s="149" t="s">
        <v>889</v>
      </c>
    </row>
    <row r="60" spans="2:16" x14ac:dyDescent="0.35">
      <c r="B60" s="582" t="s">
        <v>844</v>
      </c>
      <c r="C60" s="583"/>
      <c r="D60" s="583"/>
      <c r="E60" s="583"/>
      <c r="F60" s="229" t="str">
        <f>IF('GCs Input, Staff &amp; IT Costs'!C23=TRUE,'GCs Input, Staff &amp; IT Costs'!E23,"None")</f>
        <v>None</v>
      </c>
      <c r="G60" s="230">
        <f>G61</f>
        <v>0</v>
      </c>
      <c r="H60" s="231">
        <f>SUM(H61:H66)</f>
        <v>0</v>
      </c>
      <c r="I60" s="231"/>
      <c r="J60" s="231">
        <f>IF('Project Info Input'!C25=0,0,SUM(J61:J66))</f>
        <v>0</v>
      </c>
      <c r="K60" s="231">
        <f>SUM(K61:K66)</f>
        <v>0</v>
      </c>
      <c r="L60" s="232">
        <f>SUM(L61:L66)</f>
        <v>0</v>
      </c>
      <c r="P60" s="142" t="str">
        <f>IF(L61=0,"remove","keep")</f>
        <v>remove</v>
      </c>
    </row>
    <row r="61" spans="2:16" x14ac:dyDescent="0.35">
      <c r="B61" s="578" t="s">
        <v>950</v>
      </c>
      <c r="C61" s="579"/>
      <c r="D61" s="579"/>
      <c r="E61" s="579"/>
      <c r="F61" s="141"/>
      <c r="G61" s="150">
        <f>'GCs Input, Staff &amp; IT Costs'!D23</f>
        <v>0</v>
      </c>
      <c r="H61" s="151">
        <f>IF(F60="None",0,'GCs Input, Staff &amp; IT Costs'!F23)</f>
        <v>0</v>
      </c>
      <c r="I61" s="151">
        <f>IFERROR(+H61*1.4,0)</f>
        <v>0</v>
      </c>
      <c r="J61" s="151">
        <f>IFERROR(I61*F60,0)</f>
        <v>0</v>
      </c>
      <c r="K61" s="151"/>
      <c r="L61" s="152">
        <f>IFERROR(J61*G61,0)+(K61*G61)</f>
        <v>0</v>
      </c>
      <c r="P61" s="142"/>
    </row>
    <row r="62" spans="2:16" x14ac:dyDescent="0.35">
      <c r="B62" s="578" t="s">
        <v>853</v>
      </c>
      <c r="C62" s="579"/>
      <c r="D62" s="579"/>
      <c r="E62" s="579"/>
      <c r="F62" s="150"/>
      <c r="G62" s="150">
        <f>G61</f>
        <v>0</v>
      </c>
      <c r="H62" s="151">
        <f>IF(F60="None",0,'GCs Input, Staff &amp; IT Costs'!$C$36)</f>
        <v>0</v>
      </c>
      <c r="I62" s="151"/>
      <c r="J62" s="151">
        <f>IFERROR(+H62*$F$60,0)</f>
        <v>0</v>
      </c>
      <c r="K62" s="151"/>
      <c r="L62" s="152">
        <f t="shared" ref="L62:L66" si="6">IFERROR(J62*G62,0)+(K62*G62)</f>
        <v>0</v>
      </c>
      <c r="P62" s="142" t="str">
        <f t="shared" si="0"/>
        <v>remove</v>
      </c>
    </row>
    <row r="63" spans="2:16" x14ac:dyDescent="0.35">
      <c r="B63" s="578" t="s">
        <v>854</v>
      </c>
      <c r="C63" s="579"/>
      <c r="D63" s="579"/>
      <c r="E63" s="579"/>
      <c r="F63" s="150"/>
      <c r="G63" s="150">
        <f>G62</f>
        <v>0</v>
      </c>
      <c r="H63" s="151">
        <f>IF(F60="None",0,'GCs Input, Staff &amp; IT Costs'!$C$37)</f>
        <v>0</v>
      </c>
      <c r="I63" s="151"/>
      <c r="J63" s="151">
        <f>IFERROR(+H63*$F$60,0)</f>
        <v>0</v>
      </c>
      <c r="K63" s="151"/>
      <c r="L63" s="152">
        <f t="shared" si="6"/>
        <v>0</v>
      </c>
      <c r="P63" s="142" t="str">
        <f t="shared" si="0"/>
        <v>remove</v>
      </c>
    </row>
    <row r="64" spans="2:16" x14ac:dyDescent="0.35">
      <c r="B64" s="578" t="s">
        <v>855</v>
      </c>
      <c r="C64" s="579"/>
      <c r="D64" s="579"/>
      <c r="E64" s="579"/>
      <c r="F64" s="150"/>
      <c r="G64" s="150">
        <f>G63</f>
        <v>0</v>
      </c>
      <c r="H64" s="151">
        <f>IF(F60="None",0,'GCs Input, Staff &amp; IT Costs'!$C$38)</f>
        <v>0</v>
      </c>
      <c r="I64" s="151"/>
      <c r="J64" s="151">
        <f>IFERROR(+H64*$F$60,0)</f>
        <v>0</v>
      </c>
      <c r="K64" s="151"/>
      <c r="L64" s="152">
        <f t="shared" si="6"/>
        <v>0</v>
      </c>
      <c r="P64" s="142" t="str">
        <f t="shared" si="0"/>
        <v>remove</v>
      </c>
    </row>
    <row r="65" spans="2:16" x14ac:dyDescent="0.35">
      <c r="B65" s="578" t="s">
        <v>856</v>
      </c>
      <c r="C65" s="579"/>
      <c r="D65" s="579"/>
      <c r="E65" s="579"/>
      <c r="F65" s="150"/>
      <c r="G65" s="150">
        <f>G64</f>
        <v>0</v>
      </c>
      <c r="H65" s="151">
        <f>IF(F60="None",0,'GCs Input, Staff &amp; IT Costs'!$C$39)</f>
        <v>0</v>
      </c>
      <c r="I65" s="151"/>
      <c r="J65" s="151">
        <f>IFERROR(+H65*$F$60,0)</f>
        <v>0</v>
      </c>
      <c r="K65" s="151"/>
      <c r="L65" s="152">
        <f t="shared" si="6"/>
        <v>0</v>
      </c>
      <c r="P65" s="142" t="str">
        <f t="shared" si="0"/>
        <v>remove</v>
      </c>
    </row>
    <row r="66" spans="2:16" x14ac:dyDescent="0.35">
      <c r="B66" s="591" t="s">
        <v>890</v>
      </c>
      <c r="C66" s="592"/>
      <c r="D66" s="592"/>
      <c r="E66" s="592"/>
      <c r="F66" s="154"/>
      <c r="G66" s="154">
        <f>G65</f>
        <v>0</v>
      </c>
      <c r="H66" s="155">
        <f>IF(F60="None",0,'GCs Input, Staff &amp; IT Costs'!$C$45)</f>
        <v>0</v>
      </c>
      <c r="I66" s="155"/>
      <c r="J66" s="155">
        <f>IFERROR(+H66*$F$60,0)</f>
        <v>0</v>
      </c>
      <c r="K66" s="155"/>
      <c r="L66" s="233">
        <f t="shared" si="6"/>
        <v>0</v>
      </c>
      <c r="P66" s="142" t="str">
        <f t="shared" si="0"/>
        <v>remove</v>
      </c>
    </row>
    <row r="67" spans="2:16" ht="4.5" customHeight="1" x14ac:dyDescent="0.35">
      <c r="B67" s="588"/>
      <c r="C67" s="589"/>
      <c r="D67" s="589"/>
      <c r="E67" s="589"/>
      <c r="F67" s="589"/>
      <c r="G67" s="589"/>
      <c r="H67" s="589"/>
      <c r="I67" s="589"/>
      <c r="J67" s="589"/>
      <c r="K67" s="589"/>
      <c r="L67" s="590"/>
      <c r="P67" s="149" t="s">
        <v>889</v>
      </c>
    </row>
    <row r="68" spans="2:16" x14ac:dyDescent="0.35">
      <c r="B68" s="582" t="s">
        <v>845</v>
      </c>
      <c r="C68" s="583"/>
      <c r="D68" s="583"/>
      <c r="E68" s="583"/>
      <c r="F68" s="229" t="str">
        <f>IF('GCs Input, Staff &amp; IT Costs'!C24=TRUE,'GCs Input, Staff &amp; IT Costs'!E24,"None")</f>
        <v>None</v>
      </c>
      <c r="G68" s="230">
        <f>G69</f>
        <v>0</v>
      </c>
      <c r="H68" s="231">
        <f>SUM(H69:H74)</f>
        <v>0</v>
      </c>
      <c r="I68" s="231"/>
      <c r="J68" s="231">
        <f>IF('Project Info Input'!C25=0,0,SUM(J69:J74))</f>
        <v>0</v>
      </c>
      <c r="K68" s="231">
        <f>SUM(K69:K74)</f>
        <v>0</v>
      </c>
      <c r="L68" s="232">
        <f>SUM(L69:L74)</f>
        <v>0</v>
      </c>
      <c r="P68" s="142" t="str">
        <f>IF(L69=0,"remove","keep")</f>
        <v>remove</v>
      </c>
    </row>
    <row r="69" spans="2:16" x14ac:dyDescent="0.35">
      <c r="B69" s="578" t="s">
        <v>950</v>
      </c>
      <c r="C69" s="579"/>
      <c r="D69" s="579"/>
      <c r="E69" s="579"/>
      <c r="F69" s="141"/>
      <c r="G69" s="150">
        <f>'GCs Input, Staff &amp; IT Costs'!D24</f>
        <v>0</v>
      </c>
      <c r="H69" s="151">
        <f>IF(F68="None",0,'GCs Input, Staff &amp; IT Costs'!F24)</f>
        <v>0</v>
      </c>
      <c r="I69" s="151">
        <f>IFERROR(+H69*1.4,0)</f>
        <v>0</v>
      </c>
      <c r="J69" s="151">
        <f>IFERROR(I69*F68,0)</f>
        <v>0</v>
      </c>
      <c r="K69" s="151"/>
      <c r="L69" s="152">
        <f>IFERROR(J69*G69,0)+(K69*G69)</f>
        <v>0</v>
      </c>
      <c r="P69" s="142"/>
    </row>
    <row r="70" spans="2:16" x14ac:dyDescent="0.35">
      <c r="B70" s="578" t="s">
        <v>853</v>
      </c>
      <c r="C70" s="579"/>
      <c r="D70" s="579"/>
      <c r="E70" s="579"/>
      <c r="F70" s="150"/>
      <c r="G70" s="150">
        <f>G69</f>
        <v>0</v>
      </c>
      <c r="H70" s="151">
        <f>IF(F68="None",0,'GCs Input, Staff &amp; IT Costs'!$C$36)</f>
        <v>0</v>
      </c>
      <c r="I70" s="151"/>
      <c r="J70" s="151">
        <f>IFERROR(+H70*$F$68,0)</f>
        <v>0</v>
      </c>
      <c r="K70" s="151"/>
      <c r="L70" s="152">
        <f t="shared" ref="L70:L74" si="7">IFERROR(J70*G70,0)+(K70*G70)</f>
        <v>0</v>
      </c>
      <c r="P70" s="142" t="str">
        <f t="shared" si="0"/>
        <v>remove</v>
      </c>
    </row>
    <row r="71" spans="2:16" x14ac:dyDescent="0.35">
      <c r="B71" s="578" t="s">
        <v>854</v>
      </c>
      <c r="C71" s="579"/>
      <c r="D71" s="579"/>
      <c r="E71" s="579"/>
      <c r="F71" s="150"/>
      <c r="G71" s="150">
        <f>G70</f>
        <v>0</v>
      </c>
      <c r="H71" s="151">
        <f>IF(F68="None",0,'GCs Input, Staff &amp; IT Costs'!$C$37)</f>
        <v>0</v>
      </c>
      <c r="I71" s="151"/>
      <c r="J71" s="151">
        <f>IFERROR(+H71*$F$68,0)</f>
        <v>0</v>
      </c>
      <c r="K71" s="151"/>
      <c r="L71" s="152">
        <f t="shared" si="7"/>
        <v>0</v>
      </c>
      <c r="P71" s="142" t="str">
        <f t="shared" si="0"/>
        <v>remove</v>
      </c>
    </row>
    <row r="72" spans="2:16" x14ac:dyDescent="0.35">
      <c r="B72" s="578" t="s">
        <v>855</v>
      </c>
      <c r="C72" s="579"/>
      <c r="D72" s="579"/>
      <c r="E72" s="579"/>
      <c r="F72" s="150"/>
      <c r="G72" s="150">
        <f>G71</f>
        <v>0</v>
      </c>
      <c r="H72" s="151">
        <f>IF(F68="None",0,'GCs Input, Staff &amp; IT Costs'!$C$38)</f>
        <v>0</v>
      </c>
      <c r="I72" s="151"/>
      <c r="J72" s="151">
        <f>IFERROR(+H72*$F$68,0)</f>
        <v>0</v>
      </c>
      <c r="K72" s="151"/>
      <c r="L72" s="152">
        <f t="shared" si="7"/>
        <v>0</v>
      </c>
      <c r="P72" s="142" t="str">
        <f t="shared" si="0"/>
        <v>remove</v>
      </c>
    </row>
    <row r="73" spans="2:16" x14ac:dyDescent="0.35">
      <c r="B73" s="578" t="s">
        <v>856</v>
      </c>
      <c r="C73" s="579"/>
      <c r="D73" s="579"/>
      <c r="E73" s="579"/>
      <c r="F73" s="150"/>
      <c r="G73" s="150">
        <f>G72</f>
        <v>0</v>
      </c>
      <c r="H73" s="151">
        <f>IF(F68="None",0,'GCs Input, Staff &amp; IT Costs'!$C$39)</f>
        <v>0</v>
      </c>
      <c r="I73" s="151"/>
      <c r="J73" s="151">
        <f>IFERROR(+H73*$F$68,0)</f>
        <v>0</v>
      </c>
      <c r="K73" s="151"/>
      <c r="L73" s="152">
        <f t="shared" si="7"/>
        <v>0</v>
      </c>
      <c r="P73" s="142" t="str">
        <f t="shared" si="0"/>
        <v>remove</v>
      </c>
    </row>
    <row r="74" spans="2:16" x14ac:dyDescent="0.35">
      <c r="B74" s="591" t="s">
        <v>890</v>
      </c>
      <c r="C74" s="592"/>
      <c r="D74" s="592"/>
      <c r="E74" s="592"/>
      <c r="F74" s="154"/>
      <c r="G74" s="154">
        <f>G73</f>
        <v>0</v>
      </c>
      <c r="H74" s="155">
        <f>IF(F68="None",0,'GCs Input, Staff &amp; IT Costs'!$C$46)</f>
        <v>0</v>
      </c>
      <c r="I74" s="155"/>
      <c r="J74" s="155">
        <f>IFERROR(+H74*$F$68,0)</f>
        <v>0</v>
      </c>
      <c r="K74" s="155"/>
      <c r="L74" s="233">
        <f t="shared" si="7"/>
        <v>0</v>
      </c>
      <c r="P74" s="142" t="str">
        <f t="shared" si="0"/>
        <v>remove</v>
      </c>
    </row>
    <row r="75" spans="2:16" ht="4.5" customHeight="1" x14ac:dyDescent="0.35">
      <c r="B75" s="588"/>
      <c r="C75" s="589"/>
      <c r="D75" s="589"/>
      <c r="E75" s="589"/>
      <c r="F75" s="589"/>
      <c r="G75" s="589"/>
      <c r="H75" s="589"/>
      <c r="I75" s="589"/>
      <c r="J75" s="589"/>
      <c r="K75" s="589"/>
      <c r="L75" s="590"/>
      <c r="P75" s="149" t="s">
        <v>889</v>
      </c>
    </row>
    <row r="76" spans="2:16" x14ac:dyDescent="0.35">
      <c r="B76" s="582" t="s">
        <v>924</v>
      </c>
      <c r="C76" s="583"/>
      <c r="D76" s="583"/>
      <c r="E76" s="583"/>
      <c r="F76" s="229" t="str">
        <f>IF('GCs Input, Staff &amp; IT Costs'!C25=TRUE,'GCs Input, Staff &amp; IT Costs'!E25,"None")</f>
        <v>None</v>
      </c>
      <c r="G76" s="230">
        <f>G77</f>
        <v>0</v>
      </c>
      <c r="H76" s="231">
        <f>SUM(H77:H82)</f>
        <v>0</v>
      </c>
      <c r="I76" s="231"/>
      <c r="J76" s="231">
        <f>IF('Project Info Input'!C25=0,0,SUM(J77:J82))</f>
        <v>0</v>
      </c>
      <c r="K76" s="231">
        <f>SUM(K77:K82)</f>
        <v>0</v>
      </c>
      <c r="L76" s="232">
        <f>SUM(L77:L82)</f>
        <v>0</v>
      </c>
      <c r="P76" s="142" t="str">
        <f>IF(L77=0,"remove","keep")</f>
        <v>remove</v>
      </c>
    </row>
    <row r="77" spans="2:16" x14ac:dyDescent="0.35">
      <c r="B77" s="578" t="s">
        <v>950</v>
      </c>
      <c r="C77" s="579"/>
      <c r="D77" s="579"/>
      <c r="E77" s="579"/>
      <c r="F77" s="141"/>
      <c r="G77" s="150">
        <f>'GCs Input, Staff &amp; IT Costs'!D25</f>
        <v>0</v>
      </c>
      <c r="H77" s="151">
        <f>IF(F76="None",0,'GCs Input, Staff &amp; IT Costs'!F25)</f>
        <v>0</v>
      </c>
      <c r="I77" s="151">
        <f>IFERROR(+H77*1.4,0)</f>
        <v>0</v>
      </c>
      <c r="J77" s="151">
        <f>IFERROR(I77*F76,0)</f>
        <v>0</v>
      </c>
      <c r="K77" s="151"/>
      <c r="L77" s="152">
        <f>IFERROR(J77*G77,0)+(K77*G77)</f>
        <v>0</v>
      </c>
      <c r="P77" s="142"/>
    </row>
    <row r="78" spans="2:16" x14ac:dyDescent="0.35">
      <c r="B78" s="578" t="s">
        <v>853</v>
      </c>
      <c r="C78" s="579"/>
      <c r="D78" s="579"/>
      <c r="E78" s="579"/>
      <c r="F78" s="150"/>
      <c r="G78" s="150">
        <f>G77</f>
        <v>0</v>
      </c>
      <c r="H78" s="151">
        <f>IF(F76="None",0,'GCs Input, Staff &amp; IT Costs'!$C$36)</f>
        <v>0</v>
      </c>
      <c r="I78" s="151"/>
      <c r="J78" s="151">
        <f>IFERROR(+H78*$F$76,0)</f>
        <v>0</v>
      </c>
      <c r="K78" s="151"/>
      <c r="L78" s="152">
        <f t="shared" ref="L78:L82" si="8">IFERROR(J78*G78,0)+(K78*G78)</f>
        <v>0</v>
      </c>
      <c r="P78" s="142" t="str">
        <f t="shared" si="0"/>
        <v>remove</v>
      </c>
    </row>
    <row r="79" spans="2:16" x14ac:dyDescent="0.35">
      <c r="B79" s="578" t="s">
        <v>854</v>
      </c>
      <c r="C79" s="579"/>
      <c r="D79" s="579"/>
      <c r="E79" s="579"/>
      <c r="F79" s="150"/>
      <c r="G79" s="150">
        <f>G78</f>
        <v>0</v>
      </c>
      <c r="H79" s="151">
        <f>IF(F76="None",0,'GCs Input, Staff &amp; IT Costs'!$C$37)</f>
        <v>0</v>
      </c>
      <c r="I79" s="151"/>
      <c r="J79" s="151">
        <f>IFERROR(+H79*$F$76,0)</f>
        <v>0</v>
      </c>
      <c r="K79" s="151"/>
      <c r="L79" s="152">
        <f t="shared" si="8"/>
        <v>0</v>
      </c>
      <c r="P79" s="142" t="str">
        <f t="shared" ref="P79:P129" si="9">IF(L79=0,"remove","keep")</f>
        <v>remove</v>
      </c>
    </row>
    <row r="80" spans="2:16" x14ac:dyDescent="0.35">
      <c r="B80" s="578" t="s">
        <v>855</v>
      </c>
      <c r="C80" s="579"/>
      <c r="D80" s="579"/>
      <c r="E80" s="579"/>
      <c r="F80" s="150"/>
      <c r="G80" s="150">
        <f>G79</f>
        <v>0</v>
      </c>
      <c r="H80" s="151">
        <f>IF(F76="None",0,'GCs Input, Staff &amp; IT Costs'!$C$38)</f>
        <v>0</v>
      </c>
      <c r="I80" s="151"/>
      <c r="J80" s="151">
        <f>IFERROR(+H80*$F$76,0)</f>
        <v>0</v>
      </c>
      <c r="K80" s="151"/>
      <c r="L80" s="152">
        <f t="shared" si="8"/>
        <v>0</v>
      </c>
      <c r="P80" s="142" t="str">
        <f t="shared" si="9"/>
        <v>remove</v>
      </c>
    </row>
    <row r="81" spans="2:16" x14ac:dyDescent="0.35">
      <c r="B81" s="578" t="s">
        <v>856</v>
      </c>
      <c r="C81" s="579"/>
      <c r="D81" s="579"/>
      <c r="E81" s="579"/>
      <c r="F81" s="150"/>
      <c r="G81" s="150">
        <f>G80</f>
        <v>0</v>
      </c>
      <c r="H81" s="151">
        <f>IF(F76="None",0,'GCs Input, Staff &amp; IT Costs'!$C$39)</f>
        <v>0</v>
      </c>
      <c r="I81" s="151"/>
      <c r="J81" s="151">
        <f>IFERROR(+H81*$F$76,0)</f>
        <v>0</v>
      </c>
      <c r="K81" s="151"/>
      <c r="L81" s="152">
        <f t="shared" si="8"/>
        <v>0</v>
      </c>
      <c r="P81" s="142" t="str">
        <f t="shared" si="9"/>
        <v>remove</v>
      </c>
    </row>
    <row r="82" spans="2:16" x14ac:dyDescent="0.35">
      <c r="B82" s="591" t="s">
        <v>890</v>
      </c>
      <c r="C82" s="592"/>
      <c r="D82" s="592"/>
      <c r="E82" s="592"/>
      <c r="F82" s="154"/>
      <c r="G82" s="154">
        <f>G81</f>
        <v>0</v>
      </c>
      <c r="H82" s="155">
        <f>IF(F76="None",0,'GCs Input, Staff &amp; IT Costs'!$C$47)</f>
        <v>0</v>
      </c>
      <c r="I82" s="155"/>
      <c r="J82" s="155">
        <f>IFERROR(+H82*$F$76,0)</f>
        <v>0</v>
      </c>
      <c r="K82" s="155"/>
      <c r="L82" s="233">
        <f t="shared" si="8"/>
        <v>0</v>
      </c>
      <c r="P82" s="142" t="str">
        <f t="shared" si="9"/>
        <v>remove</v>
      </c>
    </row>
    <row r="83" spans="2:16" ht="4.5" customHeight="1" x14ac:dyDescent="0.35">
      <c r="B83" s="588"/>
      <c r="C83" s="589"/>
      <c r="D83" s="589"/>
      <c r="E83" s="589"/>
      <c r="F83" s="589"/>
      <c r="G83" s="589"/>
      <c r="H83" s="589"/>
      <c r="I83" s="589"/>
      <c r="J83" s="589"/>
      <c r="K83" s="589"/>
      <c r="L83" s="590"/>
      <c r="P83" s="149" t="s">
        <v>889</v>
      </c>
    </row>
    <row r="84" spans="2:16" x14ac:dyDescent="0.35">
      <c r="B84" s="582" t="s">
        <v>924</v>
      </c>
      <c r="C84" s="583"/>
      <c r="D84" s="583"/>
      <c r="E84" s="583"/>
      <c r="F84" s="229" t="str">
        <f>IF('GCs Input, Staff &amp; IT Costs'!C26=TRUE,'GCs Input, Staff &amp; IT Costs'!E26,"None")</f>
        <v>None</v>
      </c>
      <c r="G84" s="230">
        <f>G85</f>
        <v>0</v>
      </c>
      <c r="H84" s="231">
        <f>SUM(H85:H90)</f>
        <v>0</v>
      </c>
      <c r="I84" s="231"/>
      <c r="J84" s="231">
        <f>IF('Project Info Input'!C25=0,0,SUM(J85:J90))</f>
        <v>0</v>
      </c>
      <c r="K84" s="231">
        <f>SUM(K85:K90)</f>
        <v>0</v>
      </c>
      <c r="L84" s="232">
        <f>SUM(L85:L90)</f>
        <v>0</v>
      </c>
      <c r="P84" s="142" t="str">
        <f>IF(L85=0,"remove","keep")</f>
        <v>remove</v>
      </c>
    </row>
    <row r="85" spans="2:16" x14ac:dyDescent="0.35">
      <c r="B85" s="578" t="s">
        <v>950</v>
      </c>
      <c r="C85" s="579"/>
      <c r="D85" s="579"/>
      <c r="E85" s="579"/>
      <c r="F85" s="141"/>
      <c r="G85" s="150">
        <f>'GCs Input, Staff &amp; IT Costs'!D26</f>
        <v>0</v>
      </c>
      <c r="H85" s="151">
        <f>IF(F84="None",0,'GCs Input, Staff &amp; IT Costs'!F25)</f>
        <v>0</v>
      </c>
      <c r="I85" s="151">
        <f>IFERROR(+H85*1.4,0)</f>
        <v>0</v>
      </c>
      <c r="J85" s="151">
        <f>IFERROR(I85*F84,0)</f>
        <v>0</v>
      </c>
      <c r="K85" s="151"/>
      <c r="L85" s="152">
        <f>IFERROR(J85*G85,0)+(K85*G85)</f>
        <v>0</v>
      </c>
      <c r="P85" s="142"/>
    </row>
    <row r="86" spans="2:16" x14ac:dyDescent="0.35">
      <c r="B86" s="578" t="s">
        <v>853</v>
      </c>
      <c r="C86" s="579"/>
      <c r="D86" s="579"/>
      <c r="E86" s="579"/>
      <c r="F86" s="150"/>
      <c r="G86" s="150">
        <f>G85</f>
        <v>0</v>
      </c>
      <c r="H86" s="151">
        <f>IF(F84="None",0,'GCs Input, Staff &amp; IT Costs'!$C$36)</f>
        <v>0</v>
      </c>
      <c r="I86" s="151"/>
      <c r="J86" s="151">
        <f>IFERROR(+H86*$F$84,0)</f>
        <v>0</v>
      </c>
      <c r="K86" s="151"/>
      <c r="L86" s="152">
        <f t="shared" ref="L86:L90" si="10">IFERROR(J86*G86,0)+(K86*G86)</f>
        <v>0</v>
      </c>
      <c r="P86" s="142" t="str">
        <f t="shared" si="9"/>
        <v>remove</v>
      </c>
    </row>
    <row r="87" spans="2:16" x14ac:dyDescent="0.35">
      <c r="B87" s="578" t="s">
        <v>854</v>
      </c>
      <c r="C87" s="579"/>
      <c r="D87" s="579"/>
      <c r="E87" s="579"/>
      <c r="F87" s="150"/>
      <c r="G87" s="150">
        <f>G86</f>
        <v>0</v>
      </c>
      <c r="H87" s="151">
        <f>IF(F84="None",0,'GCs Input, Staff &amp; IT Costs'!$C$37)</f>
        <v>0</v>
      </c>
      <c r="I87" s="151"/>
      <c r="J87" s="151">
        <f>IFERROR(+H87*$F$84,0)</f>
        <v>0</v>
      </c>
      <c r="K87" s="151"/>
      <c r="L87" s="152">
        <f t="shared" si="10"/>
        <v>0</v>
      </c>
      <c r="P87" s="142" t="str">
        <f t="shared" si="9"/>
        <v>remove</v>
      </c>
    </row>
    <row r="88" spans="2:16" x14ac:dyDescent="0.35">
      <c r="B88" s="578" t="s">
        <v>855</v>
      </c>
      <c r="C88" s="579"/>
      <c r="D88" s="579"/>
      <c r="E88" s="579"/>
      <c r="F88" s="150"/>
      <c r="G88" s="150">
        <f>G87</f>
        <v>0</v>
      </c>
      <c r="H88" s="151">
        <f>IF(F84="None",0,'GCs Input, Staff &amp; IT Costs'!$C$38)</f>
        <v>0</v>
      </c>
      <c r="I88" s="151"/>
      <c r="J88" s="151">
        <f>IFERROR(+H88*$F$84,0)</f>
        <v>0</v>
      </c>
      <c r="K88" s="151"/>
      <c r="L88" s="152">
        <f t="shared" si="10"/>
        <v>0</v>
      </c>
      <c r="P88" s="142" t="str">
        <f t="shared" si="9"/>
        <v>remove</v>
      </c>
    </row>
    <row r="89" spans="2:16" x14ac:dyDescent="0.35">
      <c r="B89" s="578" t="s">
        <v>856</v>
      </c>
      <c r="C89" s="579"/>
      <c r="D89" s="579"/>
      <c r="E89" s="579"/>
      <c r="F89" s="150"/>
      <c r="G89" s="150">
        <f>G88</f>
        <v>0</v>
      </c>
      <c r="H89" s="151">
        <f>IF(F84="None",0,'GCs Input, Staff &amp; IT Costs'!$C$39)</f>
        <v>0</v>
      </c>
      <c r="I89" s="151"/>
      <c r="J89" s="151">
        <f>IFERROR(+H89*$F$84,0)</f>
        <v>0</v>
      </c>
      <c r="K89" s="151"/>
      <c r="L89" s="152">
        <f t="shared" si="10"/>
        <v>0</v>
      </c>
      <c r="P89" s="142" t="str">
        <f t="shared" si="9"/>
        <v>remove</v>
      </c>
    </row>
    <row r="90" spans="2:16" x14ac:dyDescent="0.35">
      <c r="B90" s="591" t="s">
        <v>890</v>
      </c>
      <c r="C90" s="592"/>
      <c r="D90" s="592"/>
      <c r="E90" s="592"/>
      <c r="F90" s="154"/>
      <c r="G90" s="154">
        <f>G89</f>
        <v>0</v>
      </c>
      <c r="H90" s="155">
        <f>IF(F84="None",0,'GCs Input, Staff &amp; IT Costs'!$C$47)</f>
        <v>0</v>
      </c>
      <c r="I90" s="155"/>
      <c r="J90" s="155">
        <f>IFERROR(+H90*$F$84,0)</f>
        <v>0</v>
      </c>
      <c r="K90" s="155"/>
      <c r="L90" s="233">
        <f t="shared" si="10"/>
        <v>0</v>
      </c>
      <c r="P90" s="142" t="str">
        <f t="shared" si="9"/>
        <v>remove</v>
      </c>
    </row>
    <row r="91" spans="2:16" ht="4.5" customHeight="1" x14ac:dyDescent="0.35">
      <c r="B91" s="588"/>
      <c r="C91" s="589"/>
      <c r="D91" s="589"/>
      <c r="E91" s="589"/>
      <c r="F91" s="589"/>
      <c r="G91" s="589"/>
      <c r="H91" s="589"/>
      <c r="I91" s="589"/>
      <c r="J91" s="589"/>
      <c r="K91" s="589"/>
      <c r="L91" s="590"/>
      <c r="P91" s="149" t="s">
        <v>889</v>
      </c>
    </row>
    <row r="92" spans="2:16" x14ac:dyDescent="0.35">
      <c r="B92" s="580" t="s">
        <v>848</v>
      </c>
      <c r="C92" s="581"/>
      <c r="D92" s="581"/>
      <c r="E92" s="581"/>
      <c r="F92" s="226" t="str">
        <f>IF('GCs Input, Staff &amp; IT Costs'!C29=TRUE,'GCs Input, Staff &amp; IT Costs'!E29,"None")</f>
        <v>None</v>
      </c>
      <c r="G92" s="217">
        <f>'GCs Input, Staff &amp; IT Costs'!D29</f>
        <v>0</v>
      </c>
      <c r="H92" s="218">
        <f>IF(F92="None",0,'GCs Input, Staff &amp; IT Costs'!F29)</f>
        <v>0</v>
      </c>
      <c r="I92" s="218">
        <f>IFERROR(+H92*1.4,0)</f>
        <v>0</v>
      </c>
      <c r="J92" s="218">
        <f>IF('Project Info Input'!C25=0,0,IFERROR(I92*F92,0))</f>
        <v>0</v>
      </c>
      <c r="K92" s="218"/>
      <c r="L92" s="219">
        <f t="shared" ref="L92:L96" si="11">IFERROR(J92*G92,0)+(K92*G92)</f>
        <v>0</v>
      </c>
      <c r="P92" s="142" t="str">
        <f t="shared" si="9"/>
        <v>remove</v>
      </c>
    </row>
    <row r="93" spans="2:16" ht="4.5" customHeight="1" x14ac:dyDescent="0.35">
      <c r="B93" s="588"/>
      <c r="C93" s="589"/>
      <c r="D93" s="589"/>
      <c r="E93" s="589"/>
      <c r="F93" s="589"/>
      <c r="G93" s="589"/>
      <c r="H93" s="589"/>
      <c r="I93" s="589"/>
      <c r="J93" s="589"/>
      <c r="K93" s="589"/>
      <c r="L93" s="590"/>
      <c r="P93" s="142"/>
    </row>
    <row r="94" spans="2:16" x14ac:dyDescent="0.35">
      <c r="B94" s="580" t="s">
        <v>847</v>
      </c>
      <c r="C94" s="581"/>
      <c r="D94" s="581"/>
      <c r="E94" s="581"/>
      <c r="F94" s="226" t="str">
        <f>IF('GCs Input, Staff &amp; IT Costs'!C28=TRUE,'GCs Input, Staff &amp; IT Costs'!E28,"None")</f>
        <v>None</v>
      </c>
      <c r="G94" s="217">
        <f>'GCs Input, Staff &amp; IT Costs'!D28</f>
        <v>0</v>
      </c>
      <c r="H94" s="218">
        <f>IF(F94="None",0,'GCs Input, Staff &amp; IT Costs'!F28)</f>
        <v>0</v>
      </c>
      <c r="I94" s="218">
        <f>IFERROR(+H94*1.4,0)</f>
        <v>0</v>
      </c>
      <c r="J94" s="218">
        <f>IF('Project Info Input'!C25=0,0,IFERROR(I94*F94,0))</f>
        <v>0</v>
      </c>
      <c r="K94" s="218"/>
      <c r="L94" s="219">
        <f t="shared" si="11"/>
        <v>0</v>
      </c>
      <c r="P94" s="142" t="str">
        <f t="shared" si="9"/>
        <v>remove</v>
      </c>
    </row>
    <row r="95" spans="2:16" ht="4.5" customHeight="1" x14ac:dyDescent="0.35">
      <c r="B95" s="588"/>
      <c r="C95" s="589"/>
      <c r="D95" s="589"/>
      <c r="E95" s="589"/>
      <c r="F95" s="589"/>
      <c r="G95" s="589"/>
      <c r="H95" s="589"/>
      <c r="I95" s="589"/>
      <c r="J95" s="589"/>
      <c r="K95" s="589"/>
      <c r="L95" s="590"/>
      <c r="P95" s="142"/>
    </row>
    <row r="96" spans="2:16" x14ac:dyDescent="0.35">
      <c r="B96" s="580" t="s">
        <v>849</v>
      </c>
      <c r="C96" s="581"/>
      <c r="D96" s="581"/>
      <c r="E96" s="581"/>
      <c r="F96" s="226" t="str">
        <f>IF('GCs Input, Staff &amp; IT Costs'!C30=TRUE,'GCs Input, Staff &amp; IT Costs'!E30,"None")</f>
        <v>None</v>
      </c>
      <c r="G96" s="217">
        <f>'GCs Input, Staff &amp; IT Costs'!D30</f>
        <v>0</v>
      </c>
      <c r="H96" s="218">
        <f>IF(F96="None",0,'GCs Input, Staff &amp; IT Costs'!F30)</f>
        <v>0</v>
      </c>
      <c r="I96" s="218">
        <f>IFERROR(+H96*1.4,0)</f>
        <v>0</v>
      </c>
      <c r="J96" s="218">
        <f>IF('Project Info Input'!C25=0,0,IFERROR(I96*F96,0))</f>
        <v>0</v>
      </c>
      <c r="K96" s="218"/>
      <c r="L96" s="219">
        <f t="shared" si="11"/>
        <v>0</v>
      </c>
      <c r="P96" s="142" t="str">
        <f t="shared" si="9"/>
        <v>remove</v>
      </c>
    </row>
    <row r="97" spans="2:16" ht="4.5" customHeight="1" x14ac:dyDescent="0.35">
      <c r="B97" s="588"/>
      <c r="C97" s="589"/>
      <c r="D97" s="589"/>
      <c r="E97" s="589"/>
      <c r="F97" s="589"/>
      <c r="G97" s="589"/>
      <c r="H97" s="589"/>
      <c r="I97" s="589"/>
      <c r="J97" s="589"/>
      <c r="K97" s="589"/>
      <c r="L97" s="590"/>
      <c r="P97" s="142"/>
    </row>
    <row r="98" spans="2:16" x14ac:dyDescent="0.35">
      <c r="B98" s="580" t="s">
        <v>846</v>
      </c>
      <c r="C98" s="581"/>
      <c r="D98" s="581"/>
      <c r="E98" s="581"/>
      <c r="F98" s="226" t="str">
        <f>IF('GCs Input, Staff &amp; IT Costs'!C32=TRUE,'GCs Input, Staff &amp; IT Costs'!E32,"None")</f>
        <v>None</v>
      </c>
      <c r="G98" s="217">
        <f>'GCs Input, Staff &amp; IT Costs'!D32</f>
        <v>0</v>
      </c>
      <c r="H98" s="218">
        <f>IF(F98="None",0,'GCs Input, Staff &amp; IT Costs'!F32)</f>
        <v>0</v>
      </c>
      <c r="I98" s="218">
        <f>IFERROR(+H98*1.4,0)</f>
        <v>0</v>
      </c>
      <c r="J98" s="218">
        <f>IF('Project Info Input'!C25=0,0,IFERROR(I98*F98,0))</f>
        <v>0</v>
      </c>
      <c r="K98" s="218"/>
      <c r="L98" s="219">
        <f>IFERROR(J98*G98,0)+(K98*G98)</f>
        <v>0</v>
      </c>
      <c r="P98" s="142" t="str">
        <f>IF(L98=0,"remove","keep")</f>
        <v>remove</v>
      </c>
    </row>
    <row r="99" spans="2:16" ht="4.5" customHeight="1" thickBot="1" x14ac:dyDescent="0.4">
      <c r="B99" s="588"/>
      <c r="C99" s="589"/>
      <c r="D99" s="589"/>
      <c r="E99" s="589"/>
      <c r="F99" s="589"/>
      <c r="G99" s="589"/>
      <c r="H99" s="589"/>
      <c r="I99" s="589"/>
      <c r="J99" s="589"/>
      <c r="K99" s="589"/>
      <c r="L99" s="590"/>
      <c r="P99" s="142" t="s">
        <v>889</v>
      </c>
    </row>
    <row r="100" spans="2:16" ht="21.5" thickBot="1" x14ac:dyDescent="0.4">
      <c r="B100" s="601" t="s">
        <v>891</v>
      </c>
      <c r="C100" s="602"/>
      <c r="D100" s="602"/>
      <c r="E100" s="602"/>
      <c r="F100" s="603"/>
      <c r="G100" s="220" t="str">
        <f>+'GCs Input, Staff &amp; IT Costs'!C6&amp;" months"</f>
        <v>0 months</v>
      </c>
      <c r="H100" s="227">
        <f>IF('Project Info Input'!C25=0,0,+L100/'GCs Input, Staff &amp; IT Costs'!$C$6)</f>
        <v>0</v>
      </c>
      <c r="I100" s="220" t="s">
        <v>878</v>
      </c>
      <c r="J100" s="604"/>
      <c r="K100" s="605"/>
      <c r="L100" s="228">
        <f>+L10+L14+L16+L18+L20+L12+L28+L36+L44+L52+L60+L68+L76+L84+L98+L92+L94+L96</f>
        <v>0</v>
      </c>
      <c r="M100" s="147"/>
      <c r="N100" s="147"/>
      <c r="O100" s="147"/>
      <c r="P100" s="142" t="str">
        <f t="shared" si="9"/>
        <v>remove</v>
      </c>
    </row>
    <row r="101" spans="2:16" ht="4.5" customHeight="1" thickBot="1" x14ac:dyDescent="0.4">
      <c r="L101" s="156"/>
      <c r="P101" s="149" t="s">
        <v>889</v>
      </c>
    </row>
    <row r="102" spans="2:16" ht="21.5" thickBot="1" x14ac:dyDescent="0.4">
      <c r="B102" s="601" t="s">
        <v>892</v>
      </c>
      <c r="C102" s="602"/>
      <c r="D102" s="602"/>
      <c r="E102" s="603"/>
      <c r="F102" s="220" t="s">
        <v>882</v>
      </c>
      <c r="G102" s="220" t="s">
        <v>883</v>
      </c>
      <c r="H102" s="220" t="s">
        <v>834</v>
      </c>
      <c r="I102" s="220" t="s">
        <v>893</v>
      </c>
      <c r="J102" s="220" t="s">
        <v>894</v>
      </c>
      <c r="K102" s="220" t="s">
        <v>886</v>
      </c>
      <c r="L102" s="221" t="s">
        <v>887</v>
      </c>
      <c r="P102" s="142" t="str">
        <f t="shared" si="9"/>
        <v>keep</v>
      </c>
    </row>
    <row r="103" spans="2:16" ht="4.5" customHeight="1" x14ac:dyDescent="0.35">
      <c r="B103" s="588"/>
      <c r="C103" s="589"/>
      <c r="D103" s="589"/>
      <c r="E103" s="589"/>
      <c r="F103" s="589"/>
      <c r="G103" s="589"/>
      <c r="H103" s="589"/>
      <c r="I103" s="589"/>
      <c r="J103" s="589"/>
      <c r="K103" s="589"/>
      <c r="L103" s="590"/>
      <c r="P103" s="142" t="s">
        <v>889</v>
      </c>
    </row>
    <row r="104" spans="2:16" x14ac:dyDescent="0.35">
      <c r="B104" s="599" t="s">
        <v>860</v>
      </c>
      <c r="C104" s="600"/>
      <c r="D104" s="600"/>
      <c r="E104" s="600"/>
      <c r="F104" s="153">
        <v>1</v>
      </c>
      <c r="G104" s="150">
        <f>'GCs Input, Staff &amp; IT Costs'!$C$6</f>
        <v>0</v>
      </c>
      <c r="H104" s="151">
        <f>+'GCs Input, Staff &amp; IT Costs'!C49</f>
        <v>1500</v>
      </c>
      <c r="I104" s="151"/>
      <c r="J104" s="151">
        <f>IF('Project Info Input'!C25=0,0,+H104)</f>
        <v>0</v>
      </c>
      <c r="K104" s="151"/>
      <c r="L104" s="152">
        <f t="shared" ref="L104:L111" si="12">IFERROR(J104*G104,0)+(K104*G104)</f>
        <v>0</v>
      </c>
      <c r="P104" s="142" t="str">
        <f t="shared" si="9"/>
        <v>remove</v>
      </c>
    </row>
    <row r="105" spans="2:16" x14ac:dyDescent="0.35">
      <c r="B105" s="599" t="s">
        <v>861</v>
      </c>
      <c r="C105" s="600"/>
      <c r="D105" s="600"/>
      <c r="E105" s="600"/>
      <c r="F105" s="153">
        <v>1</v>
      </c>
      <c r="G105" s="150" t="s">
        <v>836</v>
      </c>
      <c r="H105" s="151">
        <f>+'GCs Input, Staff &amp; IT Costs'!C50</f>
        <v>10000</v>
      </c>
      <c r="I105" s="151"/>
      <c r="J105" s="151">
        <f>IF('Project Info Input'!C25=0,0,+H105)</f>
        <v>0</v>
      </c>
      <c r="K105" s="151"/>
      <c r="L105" s="152">
        <f>+J105+K105</f>
        <v>0</v>
      </c>
      <c r="P105" s="142" t="str">
        <f t="shared" si="9"/>
        <v>remove</v>
      </c>
    </row>
    <row r="106" spans="2:16" x14ac:dyDescent="0.35">
      <c r="B106" s="599" t="s">
        <v>862</v>
      </c>
      <c r="C106" s="600"/>
      <c r="D106" s="600"/>
      <c r="E106" s="600"/>
      <c r="F106" s="153">
        <v>1</v>
      </c>
      <c r="G106" s="150" t="s">
        <v>836</v>
      </c>
      <c r="H106" s="151">
        <f>+'GCs Input, Staff &amp; IT Costs'!C51</f>
        <v>2500</v>
      </c>
      <c r="I106" s="151"/>
      <c r="J106" s="151">
        <f>IF('Project Info Input'!C25=0,0,+H106)</f>
        <v>0</v>
      </c>
      <c r="K106" s="151"/>
      <c r="L106" s="152">
        <f>+J106+K106</f>
        <v>0</v>
      </c>
      <c r="P106" s="142" t="str">
        <f t="shared" si="9"/>
        <v>remove</v>
      </c>
    </row>
    <row r="107" spans="2:16" x14ac:dyDescent="0.35">
      <c r="B107" s="599" t="s">
        <v>863</v>
      </c>
      <c r="C107" s="600"/>
      <c r="D107" s="600"/>
      <c r="E107" s="600"/>
      <c r="F107" s="153">
        <v>1</v>
      </c>
      <c r="G107" s="150">
        <f>'GCs Input, Staff &amp; IT Costs'!$C$6</f>
        <v>0</v>
      </c>
      <c r="H107" s="151">
        <f>+'GCs Input, Staff &amp; IT Costs'!C52</f>
        <v>250</v>
      </c>
      <c r="I107" s="151"/>
      <c r="J107" s="151">
        <f>IF('Project Info Input'!C25=0,0,+H107)</f>
        <v>0</v>
      </c>
      <c r="K107" s="151"/>
      <c r="L107" s="152">
        <f t="shared" si="12"/>
        <v>0</v>
      </c>
      <c r="P107" s="142" t="str">
        <f t="shared" si="9"/>
        <v>remove</v>
      </c>
    </row>
    <row r="108" spans="2:16" x14ac:dyDescent="0.35">
      <c r="B108" s="599" t="s">
        <v>864</v>
      </c>
      <c r="C108" s="600"/>
      <c r="D108" s="600"/>
      <c r="E108" s="600"/>
      <c r="F108" s="153">
        <v>1</v>
      </c>
      <c r="G108" s="150">
        <f>'GCs Input, Staff &amp; IT Costs'!$C$6</f>
        <v>0</v>
      </c>
      <c r="H108" s="151">
        <f>+'GCs Input, Staff &amp; IT Costs'!C53</f>
        <v>800</v>
      </c>
      <c r="I108" s="151"/>
      <c r="J108" s="151">
        <f>IF('Project Info Input'!C25=0,0,+H108)</f>
        <v>0</v>
      </c>
      <c r="K108" s="151"/>
      <c r="L108" s="152">
        <f t="shared" si="12"/>
        <v>0</v>
      </c>
      <c r="P108" s="142" t="str">
        <f t="shared" si="9"/>
        <v>remove</v>
      </c>
    </row>
    <row r="109" spans="2:16" x14ac:dyDescent="0.35">
      <c r="B109" s="599" t="s">
        <v>865</v>
      </c>
      <c r="C109" s="600"/>
      <c r="D109" s="600"/>
      <c r="E109" s="600"/>
      <c r="F109" s="153">
        <v>1</v>
      </c>
      <c r="G109" s="150" t="s">
        <v>836</v>
      </c>
      <c r="H109" s="151">
        <f>+'GCs Input, Staff &amp; IT Costs'!C54</f>
        <v>2000</v>
      </c>
      <c r="I109" s="151"/>
      <c r="J109" s="151">
        <f>IF('Project Info Input'!C25=0,0,+H109)</f>
        <v>0</v>
      </c>
      <c r="K109" s="151"/>
      <c r="L109" s="152">
        <f>+J109+K109</f>
        <v>0</v>
      </c>
      <c r="P109" s="142" t="str">
        <f t="shared" si="9"/>
        <v>remove</v>
      </c>
    </row>
    <row r="110" spans="2:16" x14ac:dyDescent="0.35">
      <c r="B110" s="599" t="s">
        <v>866</v>
      </c>
      <c r="C110" s="600"/>
      <c r="D110" s="600"/>
      <c r="E110" s="600"/>
      <c r="F110" s="153">
        <v>1</v>
      </c>
      <c r="G110" s="150">
        <f>'GCs Input, Staff &amp; IT Costs'!$C$6</f>
        <v>0</v>
      </c>
      <c r="H110" s="151">
        <f>+'GCs Input, Staff &amp; IT Costs'!C55</f>
        <v>350</v>
      </c>
      <c r="I110" s="151"/>
      <c r="J110" s="151">
        <f>IF('Project Info Input'!C25=0,0,+H110)</f>
        <v>0</v>
      </c>
      <c r="K110" s="151"/>
      <c r="L110" s="152">
        <f t="shared" si="12"/>
        <v>0</v>
      </c>
      <c r="P110" s="142" t="str">
        <f t="shared" si="9"/>
        <v>remove</v>
      </c>
    </row>
    <row r="111" spans="2:16" x14ac:dyDescent="0.35">
      <c r="B111" s="599" t="s">
        <v>867</v>
      </c>
      <c r="C111" s="600"/>
      <c r="D111" s="600"/>
      <c r="E111" s="600"/>
      <c r="F111" s="153">
        <v>1</v>
      </c>
      <c r="G111" s="150">
        <f>'GCs Input, Staff &amp; IT Costs'!$C$6</f>
        <v>0</v>
      </c>
      <c r="H111" s="151">
        <f>+'GCs Input, Staff &amp; IT Costs'!C56</f>
        <v>400</v>
      </c>
      <c r="I111" s="151"/>
      <c r="J111" s="151">
        <f>IF('Project Info Input'!C25=0,0,+H111)</f>
        <v>0</v>
      </c>
      <c r="K111" s="151"/>
      <c r="L111" s="152">
        <f t="shared" si="12"/>
        <v>0</v>
      </c>
      <c r="P111" s="142" t="str">
        <f t="shared" si="9"/>
        <v>remove</v>
      </c>
    </row>
    <row r="112" spans="2:16" ht="4.5" customHeight="1" x14ac:dyDescent="0.35">
      <c r="B112" s="588"/>
      <c r="C112" s="589"/>
      <c r="D112" s="589"/>
      <c r="E112" s="589"/>
      <c r="F112" s="589"/>
      <c r="G112" s="589"/>
      <c r="H112" s="589"/>
      <c r="I112" s="589"/>
      <c r="J112" s="589"/>
      <c r="K112" s="589"/>
      <c r="L112" s="590"/>
      <c r="P112" s="142" t="s">
        <v>889</v>
      </c>
    </row>
    <row r="113" spans="2:16" x14ac:dyDescent="0.35">
      <c r="B113" s="599" t="s">
        <v>868</v>
      </c>
      <c r="C113" s="600"/>
      <c r="D113" s="600"/>
      <c r="E113" s="600"/>
      <c r="F113" s="153" t="str">
        <f>+'GCs Input, Staff &amp; IT Costs'!C59&amp;" Linear Ft"</f>
        <v xml:space="preserve"> Linear Ft</v>
      </c>
      <c r="G113" s="150" t="str">
        <f>"$"&amp;+'GCs Input, Staff &amp; IT Costs'!C58&amp;"/LF"</f>
        <v>$4/LF</v>
      </c>
      <c r="H113" s="151">
        <f>+'GCs Input, Staff &amp; IT Costs'!C58*'GCs Input, Staff &amp; IT Costs'!C59</f>
        <v>0</v>
      </c>
      <c r="I113" s="151"/>
      <c r="J113" s="151">
        <f>IF('Project Info Input'!C25=0,0,+H113)</f>
        <v>0</v>
      </c>
      <c r="K113" s="151"/>
      <c r="L113" s="152">
        <f>+J113+K113</f>
        <v>0</v>
      </c>
      <c r="P113" s="142" t="str">
        <f t="shared" si="9"/>
        <v>remove</v>
      </c>
    </row>
    <row r="114" spans="2:16" x14ac:dyDescent="0.35">
      <c r="B114" s="599" t="s">
        <v>870</v>
      </c>
      <c r="C114" s="600"/>
      <c r="D114" s="600"/>
      <c r="E114" s="600"/>
      <c r="F114" s="153">
        <v>1</v>
      </c>
      <c r="G114" s="150" t="s">
        <v>836</v>
      </c>
      <c r="H114" s="151">
        <f>+'GCs Input, Staff &amp; IT Costs'!C60</f>
        <v>4200</v>
      </c>
      <c r="I114" s="151"/>
      <c r="J114" s="151">
        <f>IF('Project Info Input'!C25=0,0,+H114)</f>
        <v>0</v>
      </c>
      <c r="K114" s="151"/>
      <c r="L114" s="152">
        <f>+J114+K114</f>
        <v>0</v>
      </c>
      <c r="P114" s="142" t="str">
        <f t="shared" si="9"/>
        <v>remove</v>
      </c>
    </row>
    <row r="115" spans="2:16" x14ac:dyDescent="0.35">
      <c r="B115" s="599" t="s">
        <v>871</v>
      </c>
      <c r="C115" s="600"/>
      <c r="D115" s="600"/>
      <c r="E115" s="600"/>
      <c r="F115" s="153">
        <v>1</v>
      </c>
      <c r="G115" s="150">
        <f>'GCs Input, Staff &amp; IT Costs'!$C$6</f>
        <v>0</v>
      </c>
      <c r="H115" s="151">
        <f>+'GCs Input, Staff &amp; IT Costs'!C61</f>
        <v>150</v>
      </c>
      <c r="I115" s="151"/>
      <c r="J115" s="151">
        <f>IF('Project Info Input'!C25=0,0,+H115)</f>
        <v>0</v>
      </c>
      <c r="K115" s="151"/>
      <c r="L115" s="152">
        <f t="shared" ref="L115:L116" si="13">IFERROR(J115*G115,0)+(K115*G115)</f>
        <v>0</v>
      </c>
      <c r="P115" s="142" t="str">
        <f t="shared" si="9"/>
        <v>remove</v>
      </c>
    </row>
    <row r="116" spans="2:16" x14ac:dyDescent="0.35">
      <c r="B116" s="599" t="s">
        <v>872</v>
      </c>
      <c r="C116" s="600"/>
      <c r="D116" s="600"/>
      <c r="E116" s="600"/>
      <c r="F116" s="153">
        <v>1</v>
      </c>
      <c r="G116" s="150">
        <f>'GCs Input, Staff &amp; IT Costs'!$C$6</f>
        <v>0</v>
      </c>
      <c r="H116" s="151">
        <f>+'GCs Input, Staff &amp; IT Costs'!C62</f>
        <v>250</v>
      </c>
      <c r="I116" s="151"/>
      <c r="J116" s="151">
        <f>IF('Project Info Input'!C25=0,0,+H116)</f>
        <v>0</v>
      </c>
      <c r="K116" s="151"/>
      <c r="L116" s="152">
        <f t="shared" si="13"/>
        <v>0</v>
      </c>
      <c r="P116" s="142" t="str">
        <f t="shared" si="9"/>
        <v>remove</v>
      </c>
    </row>
    <row r="117" spans="2:16" ht="4.5" customHeight="1" x14ac:dyDescent="0.35">
      <c r="B117" s="588"/>
      <c r="C117" s="589"/>
      <c r="D117" s="589"/>
      <c r="E117" s="589"/>
      <c r="F117" s="589"/>
      <c r="G117" s="589"/>
      <c r="H117" s="589"/>
      <c r="I117" s="589"/>
      <c r="J117" s="589"/>
      <c r="K117" s="589"/>
      <c r="L117" s="590"/>
      <c r="P117" s="142" t="s">
        <v>889</v>
      </c>
    </row>
    <row r="118" spans="2:16" x14ac:dyDescent="0.35">
      <c r="B118" s="599" t="s">
        <v>873</v>
      </c>
      <c r="C118" s="600"/>
      <c r="D118" s="600"/>
      <c r="E118" s="600"/>
      <c r="F118" s="153">
        <v>1</v>
      </c>
      <c r="G118" s="150" t="s">
        <v>836</v>
      </c>
      <c r="H118" s="151">
        <f>+'GCs Input, Staff &amp; IT Costs'!C63</f>
        <v>1500</v>
      </c>
      <c r="I118" s="151"/>
      <c r="J118" s="151">
        <f>IF('Project Info Input'!C25=0,0,+H118)</f>
        <v>0</v>
      </c>
      <c r="K118" s="151"/>
      <c r="L118" s="152">
        <f>+J118+K118</f>
        <v>0</v>
      </c>
      <c r="P118" s="142" t="str">
        <f t="shared" si="9"/>
        <v>remove</v>
      </c>
    </row>
    <row r="119" spans="2:16" x14ac:dyDescent="0.35">
      <c r="B119" s="599" t="s">
        <v>874</v>
      </c>
      <c r="C119" s="600"/>
      <c r="D119" s="600"/>
      <c r="E119" s="600"/>
      <c r="F119" s="153">
        <v>1</v>
      </c>
      <c r="G119" s="150">
        <f>'GCs Input, Staff &amp; IT Costs'!$C$6</f>
        <v>0</v>
      </c>
      <c r="H119" s="151">
        <f>+'GCs Input, Staff &amp; IT Costs'!C64</f>
        <v>250</v>
      </c>
      <c r="I119" s="151"/>
      <c r="J119" s="151">
        <f>IF('Project Info Input'!C25=0,0,+H119)</f>
        <v>0</v>
      </c>
      <c r="K119" s="151"/>
      <c r="L119" s="152">
        <f t="shared" ref="L119:L123" si="14">IFERROR(J119*G119,0)+(K119*G119)</f>
        <v>0</v>
      </c>
      <c r="P119" s="142" t="str">
        <f t="shared" si="9"/>
        <v>remove</v>
      </c>
    </row>
    <row r="120" spans="2:16" x14ac:dyDescent="0.35">
      <c r="B120" s="599" t="s">
        <v>875</v>
      </c>
      <c r="C120" s="600"/>
      <c r="D120" s="600"/>
      <c r="E120" s="600"/>
      <c r="F120" s="153">
        <v>1</v>
      </c>
      <c r="G120" s="150">
        <f>'GCs Input, Staff &amp; IT Costs'!$C$6</f>
        <v>0</v>
      </c>
      <c r="H120" s="151">
        <f>+'GCs Input, Staff &amp; IT Costs'!C65</f>
        <v>500</v>
      </c>
      <c r="I120" s="151"/>
      <c r="J120" s="151">
        <f>IF('Project Info Input'!C25=0,0,+H120)</f>
        <v>0</v>
      </c>
      <c r="K120" s="151"/>
      <c r="L120" s="152">
        <f t="shared" si="14"/>
        <v>0</v>
      </c>
      <c r="P120" s="142" t="str">
        <f t="shared" si="9"/>
        <v>remove</v>
      </c>
    </row>
    <row r="121" spans="2:16" x14ac:dyDescent="0.35">
      <c r="B121" s="599" t="s">
        <v>876</v>
      </c>
      <c r="C121" s="600"/>
      <c r="D121" s="600"/>
      <c r="E121" s="600"/>
      <c r="F121" s="153">
        <v>1</v>
      </c>
      <c r="G121" s="150">
        <f>'GCs Input, Staff &amp; IT Costs'!$C$6</f>
        <v>0</v>
      </c>
      <c r="H121" s="151">
        <f>+'GCs Input, Staff &amp; IT Costs'!C66</f>
        <v>440</v>
      </c>
      <c r="I121" s="157">
        <f>COUNTIF('GCs Input, Staff &amp; IT Costs'!C16:C30,TRUE)</f>
        <v>0</v>
      </c>
      <c r="J121" s="151">
        <f>IF('Project Info Input'!C25=0,0,+F121*H121*I121)</f>
        <v>0</v>
      </c>
      <c r="K121" s="151"/>
      <c r="L121" s="152">
        <f t="shared" si="14"/>
        <v>0</v>
      </c>
      <c r="P121" s="142" t="str">
        <f t="shared" si="9"/>
        <v>remove</v>
      </c>
    </row>
    <row r="122" spans="2:16" ht="4.5" customHeight="1" x14ac:dyDescent="0.35">
      <c r="B122" s="588"/>
      <c r="C122" s="589"/>
      <c r="D122" s="589"/>
      <c r="E122" s="589"/>
      <c r="F122" s="589"/>
      <c r="G122" s="589"/>
      <c r="H122" s="589"/>
      <c r="I122" s="589"/>
      <c r="J122" s="589"/>
      <c r="K122" s="589"/>
      <c r="L122" s="590"/>
      <c r="P122" s="142" t="s">
        <v>889</v>
      </c>
    </row>
    <row r="123" spans="2:16" x14ac:dyDescent="0.35">
      <c r="B123" s="599" t="s">
        <v>895</v>
      </c>
      <c r="C123" s="600"/>
      <c r="D123" s="600"/>
      <c r="E123" s="600"/>
      <c r="F123" s="153" t="str">
        <f>+'GCs Input, Staff &amp; IT Costs'!C68&amp;" Pulls/Month"</f>
        <v>6 Pulls/Month</v>
      </c>
      <c r="G123" s="150">
        <f>'GCs Input, Staff &amp; IT Costs'!$C$6</f>
        <v>0</v>
      </c>
      <c r="H123" s="151">
        <f>+'GCs Input, Staff &amp; IT Costs'!C67</f>
        <v>400</v>
      </c>
      <c r="I123" s="151"/>
      <c r="J123" s="151">
        <f>IF('Project Info Input'!C25=0,0,+H123*'GCs Input, Staff &amp; IT Costs'!C68)</f>
        <v>0</v>
      </c>
      <c r="K123" s="151"/>
      <c r="L123" s="152">
        <f t="shared" si="14"/>
        <v>0</v>
      </c>
      <c r="P123" s="142" t="str">
        <f t="shared" si="9"/>
        <v>remove</v>
      </c>
    </row>
    <row r="124" spans="2:16" x14ac:dyDescent="0.35">
      <c r="B124" s="599" t="s">
        <v>879</v>
      </c>
      <c r="C124" s="600"/>
      <c r="D124" s="600"/>
      <c r="E124" s="600"/>
      <c r="F124" s="153">
        <v>1</v>
      </c>
      <c r="G124" s="150">
        <f>'GCs Input, Staff &amp; IT Costs'!$C$6</f>
        <v>0</v>
      </c>
      <c r="H124" s="151">
        <f>+'GCs Input, Staff &amp; IT Costs'!C69</f>
        <v>500</v>
      </c>
      <c r="I124" s="151"/>
      <c r="J124" s="151">
        <f>IF('Project Info Input'!C25=0,0,+G124*H124)</f>
        <v>0</v>
      </c>
      <c r="K124" s="151"/>
      <c r="L124" s="152">
        <f>+J124+K124</f>
        <v>0</v>
      </c>
      <c r="P124" s="142" t="str">
        <f t="shared" si="9"/>
        <v>remove</v>
      </c>
    </row>
    <row r="125" spans="2:16" x14ac:dyDescent="0.35">
      <c r="B125" s="599" t="s">
        <v>850</v>
      </c>
      <c r="C125" s="600"/>
      <c r="D125" s="600"/>
      <c r="E125" s="600"/>
      <c r="F125" s="153" t="str">
        <f>IF('GCs Input, Staff &amp; IT Costs'!C31=TRUE,'GCs Input, Staff &amp; IT Costs'!E31,"None")</f>
        <v>None</v>
      </c>
      <c r="G125" s="150">
        <f>'GCs Input, Staff &amp; IT Costs'!D31</f>
        <v>0</v>
      </c>
      <c r="H125" s="151">
        <f>IF(F125="None",0,'GCs Input, Staff &amp; IT Costs'!F31)</f>
        <v>0</v>
      </c>
      <c r="I125" s="151">
        <f>IFERROR(+H125*1.4,0)</f>
        <v>0</v>
      </c>
      <c r="J125" s="151">
        <f>IF('Project Info Input'!C25=0,0,IFERROR(I125*F125,0))</f>
        <v>0</v>
      </c>
      <c r="K125" s="151"/>
      <c r="L125" s="152">
        <f t="shared" ref="L125" si="15">IFERROR(J125*G125,0)+(K125*G125)</f>
        <v>0</v>
      </c>
      <c r="P125" s="142" t="str">
        <f t="shared" si="9"/>
        <v>remove</v>
      </c>
    </row>
    <row r="126" spans="2:16" ht="4.5" customHeight="1" thickBot="1" x14ac:dyDescent="0.4">
      <c r="B126" s="588"/>
      <c r="C126" s="589"/>
      <c r="D126" s="589"/>
      <c r="E126" s="589"/>
      <c r="F126" s="589"/>
      <c r="G126" s="589"/>
      <c r="H126" s="589"/>
      <c r="I126" s="589"/>
      <c r="J126" s="589"/>
      <c r="K126" s="589"/>
      <c r="L126" s="590"/>
      <c r="P126" s="142" t="s">
        <v>889</v>
      </c>
    </row>
    <row r="127" spans="2:16" ht="21.5" thickBot="1" x14ac:dyDescent="0.4">
      <c r="B127" s="601" t="s">
        <v>896</v>
      </c>
      <c r="C127" s="602"/>
      <c r="D127" s="602"/>
      <c r="E127" s="602"/>
      <c r="F127" s="603"/>
      <c r="G127" s="220" t="str">
        <f>+'GCs Input, Staff &amp; IT Costs'!C6&amp;" months"</f>
        <v>0 months</v>
      </c>
      <c r="H127" s="227">
        <f>IF('Project Info Input'!C25=0,0,+L127/'GCs Input, Staff &amp; IT Costs'!$C$6)</f>
        <v>0</v>
      </c>
      <c r="I127" s="220" t="s">
        <v>878</v>
      </c>
      <c r="J127" s="604"/>
      <c r="K127" s="605"/>
      <c r="L127" s="228">
        <f>SUM(L104:L125)</f>
        <v>0</v>
      </c>
      <c r="P127" s="142" t="str">
        <f t="shared" si="9"/>
        <v>remove</v>
      </c>
    </row>
    <row r="128" spans="2:16" ht="4.5" customHeight="1" thickBot="1" x14ac:dyDescent="0.4">
      <c r="B128" s="608"/>
      <c r="C128" s="608"/>
      <c r="D128" s="608"/>
      <c r="E128" s="608"/>
      <c r="F128" s="608"/>
      <c r="G128" s="608"/>
      <c r="H128" s="608"/>
      <c r="I128" s="608"/>
      <c r="J128" s="608"/>
      <c r="K128" s="608"/>
      <c r="L128" s="608"/>
      <c r="P128" s="149" t="s">
        <v>889</v>
      </c>
    </row>
    <row r="129" spans="2:16" ht="21.5" thickBot="1" x14ac:dyDescent="0.4">
      <c r="B129" s="601" t="s">
        <v>602</v>
      </c>
      <c r="C129" s="602"/>
      <c r="D129" s="602"/>
      <c r="E129" s="602"/>
      <c r="F129" s="603"/>
      <c r="G129" s="220" t="str">
        <f>+'GCs Input, Staff &amp; IT Costs'!C6&amp;" months"</f>
        <v>0 months</v>
      </c>
      <c r="H129" s="227">
        <f>IF('Project Info Input'!C25=0,0,+L129/'GCs Input, Staff &amp; IT Costs'!$C$6)</f>
        <v>0</v>
      </c>
      <c r="I129" s="220" t="s">
        <v>878</v>
      </c>
      <c r="J129" s="604"/>
      <c r="K129" s="605"/>
      <c r="L129" s="228">
        <f>+L100+L127</f>
        <v>0</v>
      </c>
      <c r="P129" s="142" t="str">
        <f t="shared" si="9"/>
        <v>remove</v>
      </c>
    </row>
  </sheetData>
  <autoFilter ref="P8:P129" xr:uid="{ACE5A24F-8637-4D6E-8122-836211B010DD}"/>
  <mergeCells count="127">
    <mergeCell ref="N2:O2"/>
    <mergeCell ref="B127:F127"/>
    <mergeCell ref="J127:K127"/>
    <mergeCell ref="B129:F129"/>
    <mergeCell ref="J129:K129"/>
    <mergeCell ref="B128:L128"/>
    <mergeCell ref="B125:E125"/>
    <mergeCell ref="B112:L112"/>
    <mergeCell ref="B117:L117"/>
    <mergeCell ref="B122:L122"/>
    <mergeCell ref="B126:L126"/>
    <mergeCell ref="B119:E119"/>
    <mergeCell ref="B120:E120"/>
    <mergeCell ref="B121:E121"/>
    <mergeCell ref="B123:E123"/>
    <mergeCell ref="B124:E124"/>
    <mergeCell ref="B113:E113"/>
    <mergeCell ref="B114:E114"/>
    <mergeCell ref="B115:E115"/>
    <mergeCell ref="B116:E116"/>
    <mergeCell ref="B118:E118"/>
    <mergeCell ref="B107:E107"/>
    <mergeCell ref="B108:E108"/>
    <mergeCell ref="B109:E109"/>
    <mergeCell ref="B110:E110"/>
    <mergeCell ref="B111:E111"/>
    <mergeCell ref="B102:E102"/>
    <mergeCell ref="B104:E104"/>
    <mergeCell ref="B105:E105"/>
    <mergeCell ref="B106:E106"/>
    <mergeCell ref="B103:L103"/>
    <mergeCell ref="B99:L99"/>
    <mergeCell ref="B100:F100"/>
    <mergeCell ref="J100:K100"/>
    <mergeCell ref="B44:E44"/>
    <mergeCell ref="B46:E46"/>
    <mergeCell ref="B47:E47"/>
    <mergeCell ref="B48:E48"/>
    <mergeCell ref="B49:E49"/>
    <mergeCell ref="B22:E22"/>
    <mergeCell ref="B23:E23"/>
    <mergeCell ref="B24:E24"/>
    <mergeCell ref="B25:E25"/>
    <mergeCell ref="B26:E26"/>
    <mergeCell ref="B45:E45"/>
    <mergeCell ref="B40:E40"/>
    <mergeCell ref="B41:E41"/>
    <mergeCell ref="B42:E42"/>
    <mergeCell ref="B28:E28"/>
    <mergeCell ref="B31:E31"/>
    <mergeCell ref="B36:E36"/>
    <mergeCell ref="B30:E30"/>
    <mergeCell ref="B32:E32"/>
    <mergeCell ref="B33:E33"/>
    <mergeCell ref="B34:E34"/>
    <mergeCell ref="B38:E38"/>
    <mergeCell ref="B39:E39"/>
    <mergeCell ref="B53:E53"/>
    <mergeCell ref="B61:E61"/>
    <mergeCell ref="B69:E69"/>
    <mergeCell ref="B77:E77"/>
    <mergeCell ref="B85:E85"/>
    <mergeCell ref="B50:E50"/>
    <mergeCell ref="B52:E52"/>
    <mergeCell ref="B54:E54"/>
    <mergeCell ref="B55:E55"/>
    <mergeCell ref="B51:L51"/>
    <mergeCell ref="B93:L93"/>
    <mergeCell ref="B95:L95"/>
    <mergeCell ref="B97:L97"/>
    <mergeCell ref="B43:L43"/>
    <mergeCell ref="B35:L35"/>
    <mergeCell ref="B27:L27"/>
    <mergeCell ref="B19:L19"/>
    <mergeCell ref="B9:L9"/>
    <mergeCell ref="B17:L17"/>
    <mergeCell ref="B15:L15"/>
    <mergeCell ref="B13:L13"/>
    <mergeCell ref="B11:L11"/>
    <mergeCell ref="B63:E63"/>
    <mergeCell ref="B71:E71"/>
    <mergeCell ref="B72:E72"/>
    <mergeCell ref="B62:E62"/>
    <mergeCell ref="B64:E64"/>
    <mergeCell ref="B65:E65"/>
    <mergeCell ref="B66:E66"/>
    <mergeCell ref="B56:E56"/>
    <mergeCell ref="B57:E57"/>
    <mergeCell ref="B58:E58"/>
    <mergeCell ref="B60:E60"/>
    <mergeCell ref="B59:L59"/>
    <mergeCell ref="B98:E98"/>
    <mergeCell ref="B91:L91"/>
    <mergeCell ref="B83:L83"/>
    <mergeCell ref="B75:L75"/>
    <mergeCell ref="B67:L67"/>
    <mergeCell ref="B90:E90"/>
    <mergeCell ref="B92:E92"/>
    <mergeCell ref="B94:E94"/>
    <mergeCell ref="B96:E96"/>
    <mergeCell ref="B84:E84"/>
    <mergeCell ref="B86:E86"/>
    <mergeCell ref="B87:E87"/>
    <mergeCell ref="B88:E88"/>
    <mergeCell ref="B89:E89"/>
    <mergeCell ref="B79:E79"/>
    <mergeCell ref="B80:E80"/>
    <mergeCell ref="B81:E81"/>
    <mergeCell ref="B82:E82"/>
    <mergeCell ref="B73:E73"/>
    <mergeCell ref="B74:E74"/>
    <mergeCell ref="B76:E76"/>
    <mergeCell ref="B78:E78"/>
    <mergeCell ref="B68:E68"/>
    <mergeCell ref="B70:E70"/>
    <mergeCell ref="B21:E21"/>
    <mergeCell ref="B29:E29"/>
    <mergeCell ref="B37:E37"/>
    <mergeCell ref="B12:E12"/>
    <mergeCell ref="B14:E14"/>
    <mergeCell ref="B16:E16"/>
    <mergeCell ref="B18:E18"/>
    <mergeCell ref="B20:E20"/>
    <mergeCell ref="F2:L4"/>
    <mergeCell ref="F5:L6"/>
    <mergeCell ref="B8:E8"/>
    <mergeCell ref="B10:E10"/>
  </mergeCells>
  <conditionalFormatting sqref="F12">
    <cfRule type="cellIs" dxfId="18" priority="46" operator="equal">
      <formula>0</formula>
    </cfRule>
  </conditionalFormatting>
  <conditionalFormatting sqref="F14 F16 F18">
    <cfRule type="cellIs" dxfId="17" priority="45" operator="equal">
      <formula>0</formula>
    </cfRule>
  </conditionalFormatting>
  <conditionalFormatting sqref="F20">
    <cfRule type="cellIs" dxfId="16" priority="8" operator="equal">
      <formula>0</formula>
    </cfRule>
  </conditionalFormatting>
  <conditionalFormatting sqref="F28">
    <cfRule type="cellIs" dxfId="15" priority="9" operator="equal">
      <formula>0</formula>
    </cfRule>
  </conditionalFormatting>
  <conditionalFormatting sqref="F36">
    <cfRule type="cellIs" dxfId="14" priority="20" operator="equal">
      <formula>0</formula>
    </cfRule>
  </conditionalFormatting>
  <conditionalFormatting sqref="F44">
    <cfRule type="cellIs" dxfId="13" priority="6" operator="equal">
      <formula>0</formula>
    </cfRule>
  </conditionalFormatting>
  <conditionalFormatting sqref="F52">
    <cfRule type="cellIs" dxfId="12" priority="5" operator="equal">
      <formula>0</formula>
    </cfRule>
  </conditionalFormatting>
  <conditionalFormatting sqref="F60">
    <cfRule type="cellIs" dxfId="11" priority="4" operator="equal">
      <formula>0</formula>
    </cfRule>
  </conditionalFormatting>
  <conditionalFormatting sqref="F68">
    <cfRule type="cellIs" dxfId="10" priority="3" operator="equal">
      <formula>0</formula>
    </cfRule>
  </conditionalFormatting>
  <conditionalFormatting sqref="F76">
    <cfRule type="cellIs" dxfId="9" priority="2" operator="equal">
      <formula>0</formula>
    </cfRule>
  </conditionalFormatting>
  <conditionalFormatting sqref="F84">
    <cfRule type="cellIs" dxfId="8" priority="1" operator="equal">
      <formula>0</formula>
    </cfRule>
  </conditionalFormatting>
  <conditionalFormatting sqref="F92">
    <cfRule type="cellIs" dxfId="7" priority="13" operator="equal">
      <formula>0</formula>
    </cfRule>
  </conditionalFormatting>
  <conditionalFormatting sqref="F94">
    <cfRule type="cellIs" dxfId="6" priority="12" operator="equal">
      <formula>0</formula>
    </cfRule>
  </conditionalFormatting>
  <conditionalFormatting sqref="F96">
    <cfRule type="cellIs" dxfId="5" priority="11" operator="equal">
      <formula>0</formula>
    </cfRule>
  </conditionalFormatting>
  <conditionalFormatting sqref="F98">
    <cfRule type="cellIs" dxfId="4" priority="10" operator="equal">
      <formula>0</formula>
    </cfRule>
  </conditionalFormatting>
  <conditionalFormatting sqref="F104:F111">
    <cfRule type="cellIs" dxfId="3" priority="35" operator="equal">
      <formula>0</formula>
    </cfRule>
  </conditionalFormatting>
  <conditionalFormatting sqref="F113:F116">
    <cfRule type="cellIs" dxfId="2" priority="34" operator="equal">
      <formula>0</formula>
    </cfRule>
  </conditionalFormatting>
  <conditionalFormatting sqref="F118:F121">
    <cfRule type="cellIs" dxfId="1" priority="33" operator="equal">
      <formula>0</formula>
    </cfRule>
  </conditionalFormatting>
  <conditionalFormatting sqref="F123:F125">
    <cfRule type="cellIs" dxfId="0" priority="31" operator="equal">
      <formula>0</formula>
    </cfRule>
  </conditionalFormatting>
  <printOptions horizontalCentered="1"/>
  <pageMargins left="0.7" right="0.7" top="0.75" bottom="0.75" header="0.3" footer="0.3"/>
  <pageSetup paperSize="140" scale="68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47EF-939B-41BD-8933-EA0874D9279D}">
  <sheetPr codeName="Sheet7">
    <pageSetUpPr fitToPage="1"/>
  </sheetPr>
  <dimension ref="A1:Y62"/>
  <sheetViews>
    <sheetView tabSelected="1" topLeftCell="C1" zoomScaleNormal="100" zoomScaleSheetLayoutView="120" workbookViewId="0">
      <selection activeCell="I20" sqref="I20"/>
    </sheetView>
  </sheetViews>
  <sheetFormatPr defaultColWidth="8.6328125" defaultRowHeight="14.5" x14ac:dyDescent="0.35"/>
  <cols>
    <col min="1" max="1" width="8.6328125" style="1"/>
    <col min="2" max="2" width="29.6328125" style="1" customWidth="1"/>
    <col min="3" max="3" width="11" style="1" customWidth="1"/>
    <col min="4" max="9" width="15" style="1" customWidth="1"/>
    <col min="10" max="10" width="35.81640625" style="1" customWidth="1"/>
    <col min="11" max="11" width="5.54296875" style="1" customWidth="1"/>
    <col min="12" max="14" width="1.6328125" style="1" customWidth="1"/>
    <col min="15" max="15" width="17.26953125" style="1" customWidth="1"/>
    <col min="16" max="16" width="17.36328125" style="1" customWidth="1"/>
    <col min="17" max="18" width="16.81640625" style="1" customWidth="1"/>
    <col min="19" max="19" width="13.36328125" style="1" bestFit="1" customWidth="1"/>
    <col min="20" max="20" width="16.81640625" style="1" customWidth="1"/>
    <col min="21" max="21" width="11.1796875" style="1" customWidth="1"/>
    <col min="22" max="22" width="16.81640625" style="1" customWidth="1"/>
    <col min="23" max="23" width="17" style="1" bestFit="1" customWidth="1"/>
    <col min="24" max="24" width="13.54296875" style="1" bestFit="1" customWidth="1"/>
    <col min="25" max="25" width="16.81640625" style="1" bestFit="1" customWidth="1"/>
    <col min="26" max="16384" width="8.6328125" style="1"/>
  </cols>
  <sheetData>
    <row r="1" spans="1:25" ht="25.5" customHeight="1" x14ac:dyDescent="0.35"/>
    <row r="2" spans="1:25" ht="24" customHeight="1" x14ac:dyDescent="0.55000000000000004">
      <c r="B2" s="618" t="s">
        <v>564</v>
      </c>
      <c r="C2" s="618"/>
      <c r="D2" s="618"/>
      <c r="E2" s="618"/>
      <c r="F2" s="618"/>
      <c r="G2" s="618"/>
      <c r="H2" s="618"/>
      <c r="I2" s="618"/>
      <c r="J2" s="618"/>
    </row>
    <row r="3" spans="1:25" ht="25.5" customHeight="1" x14ac:dyDescent="0.35"/>
    <row r="4" spans="1:25" ht="25.5" customHeight="1" x14ac:dyDescent="0.35">
      <c r="B4" s="216" t="s">
        <v>587</v>
      </c>
      <c r="C4" s="621" t="str">
        <f>'Project Info Input'!C8</f>
        <v>Test</v>
      </c>
      <c r="D4" s="621"/>
      <c r="E4" s="621"/>
      <c r="F4" s="621"/>
      <c r="G4" s="621"/>
      <c r="H4" s="621"/>
      <c r="I4" s="621"/>
      <c r="J4" s="621"/>
    </row>
    <row r="5" spans="1:25" ht="25.5" customHeight="1" x14ac:dyDescent="0.35">
      <c r="B5" s="216" t="s">
        <v>565</v>
      </c>
      <c r="C5" s="620">
        <f>'Project Info Input'!C12</f>
        <v>0</v>
      </c>
      <c r="D5" s="620"/>
      <c r="E5" s="620"/>
      <c r="F5" s="620"/>
      <c r="G5" s="620"/>
      <c r="H5" s="620"/>
      <c r="I5" s="620"/>
      <c r="J5" s="620"/>
    </row>
    <row r="6" spans="1:25" ht="25.5" customHeight="1" x14ac:dyDescent="0.35">
      <c r="B6" s="216" t="s">
        <v>566</v>
      </c>
      <c r="C6" s="620">
        <f>'Project Info Input'!C13</f>
        <v>0</v>
      </c>
      <c r="D6" s="620"/>
      <c r="E6" s="620"/>
      <c r="F6" s="620"/>
      <c r="G6" s="620"/>
      <c r="H6" s="620"/>
      <c r="I6" s="620"/>
      <c r="J6" s="620"/>
    </row>
    <row r="7" spans="1:25" ht="6.75" customHeight="1" thickBot="1" x14ac:dyDescent="0.4">
      <c r="H7" s="2"/>
      <c r="I7" s="2"/>
      <c r="J7" s="2"/>
    </row>
    <row r="8" spans="1:25" s="250" customFormat="1" ht="33.75" customHeight="1" thickBot="1" x14ac:dyDescent="0.3">
      <c r="B8" s="247" t="s">
        <v>929</v>
      </c>
      <c r="C8" s="254" t="s">
        <v>567</v>
      </c>
      <c r="D8" s="254" t="s">
        <v>1004</v>
      </c>
      <c r="E8" s="255" t="s">
        <v>886</v>
      </c>
      <c r="F8" s="255" t="s">
        <v>927</v>
      </c>
      <c r="G8" s="255" t="s">
        <v>1003</v>
      </c>
      <c r="H8" s="255" t="s">
        <v>930</v>
      </c>
      <c r="I8" s="255" t="s">
        <v>928</v>
      </c>
      <c r="J8" s="256" t="s">
        <v>572</v>
      </c>
      <c r="O8" s="410" t="s">
        <v>1224</v>
      </c>
      <c r="P8" s="410" t="s">
        <v>1225</v>
      </c>
      <c r="Q8" s="410" t="s">
        <v>1226</v>
      </c>
      <c r="R8" s="410" t="s">
        <v>1227</v>
      </c>
      <c r="S8" s="411" t="s">
        <v>1228</v>
      </c>
      <c r="T8" s="410" t="s">
        <v>1229</v>
      </c>
      <c r="U8" s="410" t="s">
        <v>1230</v>
      </c>
      <c r="V8" s="410" t="s">
        <v>1231</v>
      </c>
      <c r="W8" s="410" t="s">
        <v>1232</v>
      </c>
      <c r="X8" s="410" t="s">
        <v>1233</v>
      </c>
      <c r="Y8" s="410" t="s">
        <v>1234</v>
      </c>
    </row>
    <row r="9" spans="1:25" s="189" customFormat="1" x14ac:dyDescent="0.25">
      <c r="B9" s="440" t="s">
        <v>47</v>
      </c>
      <c r="C9" s="489"/>
      <c r="D9" s="490"/>
      <c r="E9" s="446">
        <f>Estimate!M35</f>
        <v>0</v>
      </c>
      <c r="F9" s="446">
        <f>Estimate!M36</f>
        <v>0</v>
      </c>
      <c r="G9" s="622" t="s">
        <v>1417</v>
      </c>
      <c r="H9" s="623"/>
      <c r="I9" s="491" t="s">
        <v>1416</v>
      </c>
      <c r="J9" s="492" t="s">
        <v>1418</v>
      </c>
      <c r="O9" s="415" t="str">
        <f>'Budget Summary'!E3</f>
        <v>Test</v>
      </c>
      <c r="P9" s="416" t="str">
        <f>'Budget Summary'!E4</f>
        <v>Test 1</v>
      </c>
      <c r="Q9" s="412">
        <f>'Budget Summary'!G2</f>
        <v>6568.07220790875</v>
      </c>
      <c r="R9" s="412">
        <f>Estimate!N1247</f>
        <v>312.76534323375</v>
      </c>
      <c r="S9" s="412">
        <f>Estimate!N1253-(Estimate!N1253/(1+U9))</f>
        <v>0</v>
      </c>
      <c r="T9" s="412">
        <f>R9+S9</f>
        <v>312.76534323375</v>
      </c>
      <c r="U9" s="413">
        <f>Estimate!G1249+Estimate!G1250</f>
        <v>0.05</v>
      </c>
      <c r="V9" s="412">
        <f>I45</f>
        <v>0</v>
      </c>
      <c r="W9" s="412">
        <f>T9+V9*0.5</f>
        <v>312.76534323375</v>
      </c>
      <c r="X9" s="412">
        <f>T9+V9</f>
        <v>312.76534323375</v>
      </c>
      <c r="Y9" s="417">
        <f>'Project Info Input'!C19</f>
        <v>0</v>
      </c>
    </row>
    <row r="10" spans="1:25" s="189" customFormat="1" x14ac:dyDescent="0.25">
      <c r="B10" s="441" t="s">
        <v>684</v>
      </c>
      <c r="C10" s="348"/>
      <c r="D10" s="349"/>
      <c r="E10" s="446">
        <f>Estimate!M92+Estimate!M51</f>
        <v>0</v>
      </c>
      <c r="F10" s="446">
        <f>Estimate!M93+Estimate!M52</f>
        <v>0</v>
      </c>
      <c r="G10" s="351">
        <f>F10</f>
        <v>0</v>
      </c>
      <c r="H10" s="350"/>
      <c r="I10" s="350">
        <f>G10+H10</f>
        <v>0</v>
      </c>
      <c r="J10" s="352"/>
      <c r="O10" s="415" t="str">
        <f>'Budget Summary'!E4</f>
        <v>Test 1</v>
      </c>
      <c r="P10" s="416">
        <f>'Budget Summary'!E5</f>
        <v>0</v>
      </c>
      <c r="Q10" s="412">
        <f>'Budget Summary'!G3</f>
        <v>0</v>
      </c>
      <c r="R10" s="412">
        <f>Estimate!N1248</f>
        <v>312.76534323375</v>
      </c>
      <c r="S10" s="412">
        <f>Estimate!N1254-(Estimate!N1254/(1+U10))</f>
        <v>0</v>
      </c>
      <c r="T10" s="412">
        <f>R10+S10</f>
        <v>312.76534323375</v>
      </c>
      <c r="U10" s="413">
        <f>Estimate!G1250+Estimate!G1251</f>
        <v>0.03</v>
      </c>
      <c r="V10" s="412">
        <f>I46</f>
        <v>0</v>
      </c>
      <c r="W10" s="412">
        <f>T10+V10*0.5</f>
        <v>312.76534323375</v>
      </c>
      <c r="X10" s="412">
        <f>T10+V10</f>
        <v>312.76534323375</v>
      </c>
      <c r="Y10" s="417">
        <f>'Project Info Input'!C20</f>
        <v>0</v>
      </c>
    </row>
    <row r="11" spans="1:25" s="189" customFormat="1" x14ac:dyDescent="0.25">
      <c r="B11" s="441" t="s">
        <v>21</v>
      </c>
      <c r="C11" s="348"/>
      <c r="D11" s="349"/>
      <c r="E11" s="446">
        <f>Estimate!M138</f>
        <v>0</v>
      </c>
      <c r="F11" s="446">
        <f>Estimate!M139</f>
        <v>0</v>
      </c>
      <c r="G11" s="351">
        <f>F11</f>
        <v>0</v>
      </c>
      <c r="H11" s="350"/>
      <c r="I11" s="350">
        <f t="shared" ref="I11:I14" si="0">G11+H11</f>
        <v>0</v>
      </c>
      <c r="J11" s="352"/>
    </row>
    <row r="12" spans="1:25" s="189" customFormat="1" x14ac:dyDescent="0.25">
      <c r="B12" s="441" t="s">
        <v>1100</v>
      </c>
      <c r="C12" s="348"/>
      <c r="D12" s="349"/>
      <c r="E12" s="446">
        <f>Estimate!M162</f>
        <v>0</v>
      </c>
      <c r="F12" s="446">
        <f>Estimate!M163</f>
        <v>0</v>
      </c>
      <c r="G12" s="351">
        <f t="shared" ref="G12:G43" si="1">F12</f>
        <v>0</v>
      </c>
      <c r="H12" s="350"/>
      <c r="I12" s="350">
        <f t="shared" si="0"/>
        <v>0</v>
      </c>
      <c r="J12" s="352"/>
    </row>
    <row r="13" spans="1:25" s="189" customFormat="1" x14ac:dyDescent="0.25">
      <c r="B13" s="441" t="s">
        <v>1103</v>
      </c>
      <c r="C13" s="348"/>
      <c r="D13" s="349"/>
      <c r="E13" s="446">
        <f>Estimate!M174</f>
        <v>0</v>
      </c>
      <c r="F13" s="446">
        <f>Estimate!M175</f>
        <v>0</v>
      </c>
      <c r="G13" s="351">
        <f t="shared" si="1"/>
        <v>0</v>
      </c>
      <c r="H13" s="350"/>
      <c r="I13" s="350">
        <f t="shared" ref="I13" si="2">G13+H13</f>
        <v>0</v>
      </c>
      <c r="J13" s="352"/>
    </row>
    <row r="14" spans="1:25" s="189" customFormat="1" x14ac:dyDescent="0.25">
      <c r="B14" s="441" t="s">
        <v>1101</v>
      </c>
      <c r="C14" s="348"/>
      <c r="D14" s="349"/>
      <c r="E14" s="446">
        <f>Estimate!M196</f>
        <v>0</v>
      </c>
      <c r="F14" s="446">
        <f>Estimate!M197</f>
        <v>0</v>
      </c>
      <c r="G14" s="351">
        <f t="shared" si="1"/>
        <v>0</v>
      </c>
      <c r="H14" s="350"/>
      <c r="I14" s="350">
        <f t="shared" si="0"/>
        <v>0</v>
      </c>
      <c r="J14" s="352"/>
    </row>
    <row r="15" spans="1:25" s="189" customFormat="1" x14ac:dyDescent="0.25">
      <c r="B15" s="442" t="s">
        <v>1102</v>
      </c>
      <c r="C15" s="353"/>
      <c r="D15" s="354"/>
      <c r="E15" s="447">
        <f>Estimate!M230</f>
        <v>0</v>
      </c>
      <c r="F15" s="447">
        <f>Estimate!M231</f>
        <v>0</v>
      </c>
      <c r="G15" s="351">
        <f t="shared" si="1"/>
        <v>0</v>
      </c>
      <c r="H15" s="355"/>
      <c r="I15" s="355">
        <f t="shared" ref="I15" si="3">G15+H15</f>
        <v>0</v>
      </c>
      <c r="J15" s="356"/>
      <c r="O15" s="619" t="s">
        <v>1261</v>
      </c>
      <c r="P15" s="619"/>
    </row>
    <row r="16" spans="1:25" s="189" customFormat="1" x14ac:dyDescent="0.25">
      <c r="B16" s="442" t="s">
        <v>48</v>
      </c>
      <c r="C16" s="353"/>
      <c r="D16" s="354"/>
      <c r="E16" s="447">
        <f>Estimate!M245+Estimate!M262</f>
        <v>0</v>
      </c>
      <c r="F16" s="447">
        <f>Estimate!M246+Estimate!M263</f>
        <v>0</v>
      </c>
      <c r="G16" s="351">
        <f t="shared" si="1"/>
        <v>0</v>
      </c>
      <c r="H16" s="355"/>
      <c r="I16" s="355">
        <f t="shared" ref="I16:I44" si="4">G16+H16</f>
        <v>0</v>
      </c>
      <c r="J16" s="356"/>
      <c r="O16" s="414" t="s">
        <v>1263</v>
      </c>
      <c r="P16" s="412">
        <f>Estimate!M1229</f>
        <v>0</v>
      </c>
    </row>
    <row r="17" spans="2:16" s="189" customFormat="1" x14ac:dyDescent="0.25">
      <c r="B17" s="442" t="s">
        <v>67</v>
      </c>
      <c r="C17" s="353"/>
      <c r="D17" s="354"/>
      <c r="E17" s="447">
        <f>Estimate!M281</f>
        <v>0</v>
      </c>
      <c r="F17" s="447">
        <f>Estimate!M282</f>
        <v>0</v>
      </c>
      <c r="G17" s="351">
        <f t="shared" ref="G17:G19" si="5">F17</f>
        <v>0</v>
      </c>
      <c r="H17" s="355"/>
      <c r="I17" s="355">
        <f>G17+H17</f>
        <v>0</v>
      </c>
      <c r="J17" s="356"/>
      <c r="O17" s="414" t="s">
        <v>1262</v>
      </c>
      <c r="P17" s="412">
        <f>'General Conditions'!L10</f>
        <v>0</v>
      </c>
    </row>
    <row r="18" spans="2:16" s="189" customFormat="1" x14ac:dyDescent="0.25">
      <c r="B18" s="445" t="s">
        <v>1086</v>
      </c>
      <c r="C18" s="353"/>
      <c r="D18" s="354"/>
      <c r="E18" s="447">
        <f>Estimate!M297</f>
        <v>0</v>
      </c>
      <c r="F18" s="447">
        <f>Estimate!M298</f>
        <v>0</v>
      </c>
      <c r="G18" s="351">
        <f t="shared" si="5"/>
        <v>0</v>
      </c>
      <c r="H18" s="355"/>
      <c r="I18" s="355">
        <f>G18+H18</f>
        <v>0</v>
      </c>
      <c r="J18" s="356"/>
      <c r="O18" s="414" t="s">
        <v>1264</v>
      </c>
      <c r="P18" s="412">
        <f>P16+P17</f>
        <v>0</v>
      </c>
    </row>
    <row r="19" spans="2:16" s="189" customFormat="1" x14ac:dyDescent="0.25">
      <c r="B19" s="445" t="s">
        <v>514</v>
      </c>
      <c r="C19" s="353"/>
      <c r="D19" s="354"/>
      <c r="E19" s="447">
        <f>Estimate!M307</f>
        <v>0</v>
      </c>
      <c r="F19" s="447">
        <f>Estimate!M308</f>
        <v>0</v>
      </c>
      <c r="G19" s="351">
        <f t="shared" si="5"/>
        <v>0</v>
      </c>
      <c r="H19" s="355"/>
      <c r="I19" s="355">
        <f>G19+H19</f>
        <v>0</v>
      </c>
      <c r="J19" s="356"/>
    </row>
    <row r="20" spans="2:16" s="189" customFormat="1" x14ac:dyDescent="0.25">
      <c r="B20" s="445" t="s">
        <v>1340</v>
      </c>
      <c r="C20" s="353"/>
      <c r="D20" s="354"/>
      <c r="E20" s="447">
        <f>Estimate!M324</f>
        <v>0</v>
      </c>
      <c r="F20" s="447">
        <f>Estimate!M325</f>
        <v>0</v>
      </c>
      <c r="G20" s="351">
        <f t="shared" si="1"/>
        <v>0</v>
      </c>
      <c r="H20" s="355"/>
      <c r="I20" s="355">
        <f>G20+H20</f>
        <v>0</v>
      </c>
      <c r="J20" s="356"/>
    </row>
    <row r="21" spans="2:16" s="189" customFormat="1" x14ac:dyDescent="0.25">
      <c r="B21" s="486" t="s">
        <v>1412</v>
      </c>
      <c r="C21" s="353"/>
      <c r="D21" s="354"/>
      <c r="E21" s="447">
        <f>Estimate!M358+Estimate!M378+Estimate!M386+Estimate!M400+Estimate!M413</f>
        <v>0</v>
      </c>
      <c r="F21" s="447">
        <f>Estimate!M359+Estimate!M379+Estimate!M387+Estimate!M401+Estimate!M414</f>
        <v>0</v>
      </c>
      <c r="G21" s="351">
        <f t="shared" si="1"/>
        <v>0</v>
      </c>
      <c r="H21" s="355"/>
      <c r="I21" s="355">
        <f t="shared" si="4"/>
        <v>0</v>
      </c>
      <c r="J21" s="356"/>
    </row>
    <row r="22" spans="2:16" s="189" customFormat="1" x14ac:dyDescent="0.25">
      <c r="B22" s="442" t="s">
        <v>99</v>
      </c>
      <c r="C22" s="353"/>
      <c r="D22" s="354"/>
      <c r="E22" s="447">
        <f>Estimate!M424</f>
        <v>0</v>
      </c>
      <c r="F22" s="447">
        <f>Estimate!M425</f>
        <v>0</v>
      </c>
      <c r="G22" s="351">
        <f t="shared" si="1"/>
        <v>0</v>
      </c>
      <c r="H22" s="355"/>
      <c r="I22" s="355">
        <f t="shared" si="4"/>
        <v>0</v>
      </c>
      <c r="J22" s="356"/>
    </row>
    <row r="23" spans="2:16" s="189" customFormat="1" x14ac:dyDescent="0.25">
      <c r="B23" s="445" t="s">
        <v>1341</v>
      </c>
      <c r="C23" s="353"/>
      <c r="D23" s="354"/>
      <c r="E23" s="447">
        <f>Estimate!M451+Estimate!M474+Estimate!M506</f>
        <v>0</v>
      </c>
      <c r="F23" s="447">
        <f>Estimate!M452+Estimate!M475+Estimate!M507</f>
        <v>0</v>
      </c>
      <c r="G23" s="351">
        <f t="shared" si="1"/>
        <v>0</v>
      </c>
      <c r="H23" s="355"/>
      <c r="I23" s="355">
        <f t="shared" si="4"/>
        <v>0</v>
      </c>
      <c r="J23" s="356"/>
    </row>
    <row r="24" spans="2:16" s="189" customFormat="1" x14ac:dyDescent="0.25">
      <c r="B24" s="443" t="s">
        <v>1270</v>
      </c>
      <c r="C24" s="353"/>
      <c r="D24" s="354"/>
      <c r="E24" s="447">
        <f>Estimate!M491</f>
        <v>0</v>
      </c>
      <c r="F24" s="447">
        <f>Estimate!M492</f>
        <v>0</v>
      </c>
      <c r="G24" s="351">
        <f t="shared" si="1"/>
        <v>0</v>
      </c>
      <c r="H24" s="355"/>
      <c r="I24" s="355">
        <f t="shared" ref="I24:I26" si="6">G24+H24</f>
        <v>0</v>
      </c>
      <c r="J24" s="356"/>
    </row>
    <row r="25" spans="2:16" s="189" customFormat="1" x14ac:dyDescent="0.25">
      <c r="B25" s="445" t="s">
        <v>696</v>
      </c>
      <c r="C25" s="353"/>
      <c r="D25" s="354"/>
      <c r="E25" s="447">
        <f>Estimate!M535</f>
        <v>0</v>
      </c>
      <c r="F25" s="447">
        <f>Estimate!M536</f>
        <v>0</v>
      </c>
      <c r="G25" s="351">
        <f t="shared" ref="G25" si="7">F25</f>
        <v>0</v>
      </c>
      <c r="H25" s="355"/>
      <c r="I25" s="355">
        <f>G25+H25</f>
        <v>0</v>
      </c>
      <c r="J25" s="356"/>
    </row>
    <row r="26" spans="2:16" s="189" customFormat="1" x14ac:dyDescent="0.25">
      <c r="B26" s="445" t="s">
        <v>1342</v>
      </c>
      <c r="C26" s="353"/>
      <c r="D26" s="354"/>
      <c r="E26" s="447">
        <f>Estimate!M577</f>
        <v>0</v>
      </c>
      <c r="F26" s="447">
        <f>Estimate!M578</f>
        <v>0</v>
      </c>
      <c r="G26" s="351">
        <f t="shared" ref="G26" si="8">F26</f>
        <v>0</v>
      </c>
      <c r="H26" s="355"/>
      <c r="I26" s="355">
        <f t="shared" si="6"/>
        <v>0</v>
      </c>
      <c r="J26" s="356"/>
    </row>
    <row r="27" spans="2:16" s="189" customFormat="1" x14ac:dyDescent="0.25">
      <c r="B27" s="445" t="s">
        <v>1343</v>
      </c>
      <c r="C27" s="353"/>
      <c r="D27" s="354"/>
      <c r="E27" s="447">
        <f>Estimate!M578+Estimate!M566</f>
        <v>0</v>
      </c>
      <c r="F27" s="447">
        <f>Estimate!M579+Estimate!M567</f>
        <v>0</v>
      </c>
      <c r="G27" s="351">
        <f t="shared" si="1"/>
        <v>0</v>
      </c>
      <c r="H27" s="355"/>
      <c r="I27" s="355">
        <f t="shared" si="4"/>
        <v>0</v>
      </c>
      <c r="J27" s="356"/>
    </row>
    <row r="28" spans="2:16" s="189" customFormat="1" x14ac:dyDescent="0.25">
      <c r="B28" s="442" t="s">
        <v>96</v>
      </c>
      <c r="C28" s="353"/>
      <c r="D28" s="354"/>
      <c r="E28" s="447">
        <f>Estimate!M603</f>
        <v>0</v>
      </c>
      <c r="F28" s="447">
        <f>Estimate!M604</f>
        <v>0</v>
      </c>
      <c r="G28" s="351">
        <f t="shared" si="1"/>
        <v>0</v>
      </c>
      <c r="H28" s="355"/>
      <c r="I28" s="355">
        <f t="shared" si="4"/>
        <v>0</v>
      </c>
      <c r="J28" s="356"/>
    </row>
    <row r="29" spans="2:16" s="189" customFormat="1" x14ac:dyDescent="0.25">
      <c r="B29" s="445" t="s">
        <v>1344</v>
      </c>
      <c r="C29" s="353"/>
      <c r="D29" s="354"/>
      <c r="E29" s="447">
        <f>Estimate!M619</f>
        <v>0</v>
      </c>
      <c r="F29" s="447">
        <f>Estimate!M620</f>
        <v>0</v>
      </c>
      <c r="G29" s="351">
        <f t="shared" ref="G29" si="9">F29</f>
        <v>0</v>
      </c>
      <c r="H29" s="355"/>
      <c r="I29" s="355">
        <f t="shared" ref="I29" si="10">G29+H29</f>
        <v>0</v>
      </c>
      <c r="J29" s="356"/>
    </row>
    <row r="30" spans="2:16" s="189" customFormat="1" x14ac:dyDescent="0.25">
      <c r="B30" s="486" t="s">
        <v>228</v>
      </c>
      <c r="C30" s="353"/>
      <c r="D30" s="354"/>
      <c r="E30" s="447">
        <f>Estimate!M661+Estimate!M631</f>
        <v>0</v>
      </c>
      <c r="F30" s="447">
        <f>Estimate!M662+Estimate!M632</f>
        <v>0</v>
      </c>
      <c r="G30" s="351">
        <f t="shared" si="1"/>
        <v>0</v>
      </c>
      <c r="H30" s="355"/>
      <c r="I30" s="355">
        <f t="shared" ref="I30:I31" si="11">G30+H30</f>
        <v>0</v>
      </c>
      <c r="J30" s="356"/>
    </row>
    <row r="31" spans="2:16" s="189" customFormat="1" x14ac:dyDescent="0.25">
      <c r="B31" s="486" t="s">
        <v>12</v>
      </c>
      <c r="C31" s="353"/>
      <c r="D31" s="354"/>
      <c r="E31" s="447">
        <f>Estimate!M631</f>
        <v>0</v>
      </c>
      <c r="F31" s="447">
        <f>Estimate!M632</f>
        <v>0</v>
      </c>
      <c r="G31" s="351">
        <f t="shared" si="1"/>
        <v>0</v>
      </c>
      <c r="H31" s="355"/>
      <c r="I31" s="355">
        <f t="shared" si="11"/>
        <v>0</v>
      </c>
      <c r="J31" s="356"/>
    </row>
    <row r="32" spans="2:16" s="189" customFormat="1" x14ac:dyDescent="0.25">
      <c r="B32" s="442" t="s">
        <v>583</v>
      </c>
      <c r="C32" s="353"/>
      <c r="D32" s="354"/>
      <c r="E32" s="447">
        <f>Estimate!M682</f>
        <v>0</v>
      </c>
      <c r="F32" s="447">
        <f>Estimate!M683</f>
        <v>0</v>
      </c>
      <c r="G32" s="351">
        <f t="shared" si="1"/>
        <v>0</v>
      </c>
      <c r="H32" s="355"/>
      <c r="I32" s="355">
        <f t="shared" si="4"/>
        <v>0</v>
      </c>
      <c r="J32" s="356"/>
    </row>
    <row r="33" spans="2:10" s="189" customFormat="1" x14ac:dyDescent="0.25">
      <c r="B33" s="445" t="s">
        <v>1346</v>
      </c>
      <c r="C33" s="353"/>
      <c r="D33" s="354"/>
      <c r="E33" s="447">
        <f>Estimate!M700+Estimate!M709+Estimate!M877</f>
        <v>0</v>
      </c>
      <c r="F33" s="447">
        <f>Estimate!M701+Estimate!M710+Estimate!M878</f>
        <v>0</v>
      </c>
      <c r="G33" s="351">
        <f t="shared" si="1"/>
        <v>0</v>
      </c>
      <c r="H33" s="355"/>
      <c r="I33" s="355">
        <f t="shared" si="4"/>
        <v>0</v>
      </c>
      <c r="J33" s="356"/>
    </row>
    <row r="34" spans="2:10" s="189" customFormat="1" x14ac:dyDescent="0.25">
      <c r="B34" s="445" t="s">
        <v>111</v>
      </c>
      <c r="C34" s="353"/>
      <c r="D34" s="354"/>
      <c r="E34" s="447">
        <f>Estimate!M730</f>
        <v>0</v>
      </c>
      <c r="F34" s="447">
        <f>Estimate!M731</f>
        <v>0</v>
      </c>
      <c r="G34" s="351">
        <f t="shared" ref="G34" si="12">F34</f>
        <v>0</v>
      </c>
      <c r="H34" s="355"/>
      <c r="I34" s="355">
        <f t="shared" ref="I34" si="13">G34+H34</f>
        <v>0</v>
      </c>
      <c r="J34" s="356"/>
    </row>
    <row r="35" spans="2:10" s="189" customFormat="1" x14ac:dyDescent="0.25">
      <c r="B35" s="442" t="s">
        <v>584</v>
      </c>
      <c r="C35" s="353"/>
      <c r="D35" s="354"/>
      <c r="E35" s="447">
        <f>Estimate!M749+Estimate!M791</f>
        <v>0</v>
      </c>
      <c r="F35" s="447">
        <f>Estimate!M750+Estimate!M792</f>
        <v>0</v>
      </c>
      <c r="G35" s="351">
        <f t="shared" si="1"/>
        <v>0</v>
      </c>
      <c r="H35" s="355"/>
      <c r="I35" s="355">
        <f t="shared" si="4"/>
        <v>0</v>
      </c>
      <c r="J35" s="356"/>
    </row>
    <row r="36" spans="2:10" s="189" customFormat="1" x14ac:dyDescent="0.25">
      <c r="B36" s="445" t="s">
        <v>704</v>
      </c>
      <c r="C36" s="353"/>
      <c r="D36" s="354"/>
      <c r="E36" s="447">
        <f>Estimate!M827</f>
        <v>0</v>
      </c>
      <c r="F36" s="447">
        <f>Estimate!M828</f>
        <v>0</v>
      </c>
      <c r="G36" s="351">
        <f t="shared" ref="G36" si="14">F36</f>
        <v>0</v>
      </c>
      <c r="H36" s="355"/>
      <c r="I36" s="355">
        <f t="shared" si="4"/>
        <v>0</v>
      </c>
      <c r="J36" s="356"/>
    </row>
    <row r="37" spans="2:10" s="189" customFormat="1" x14ac:dyDescent="0.25">
      <c r="B37" s="445" t="s">
        <v>1345</v>
      </c>
      <c r="C37" s="353"/>
      <c r="D37" s="354"/>
      <c r="E37" s="447">
        <f>Estimate!M850+Estimate!M867</f>
        <v>0</v>
      </c>
      <c r="F37" s="447">
        <f>Estimate!M851+Estimate!M868</f>
        <v>0</v>
      </c>
      <c r="G37" s="351">
        <f t="shared" si="1"/>
        <v>0</v>
      </c>
      <c r="H37" s="355"/>
      <c r="I37" s="355">
        <f t="shared" ref="I37" si="15">G37+H37</f>
        <v>0</v>
      </c>
      <c r="J37" s="356"/>
    </row>
    <row r="38" spans="2:10" s="189" customFormat="1" x14ac:dyDescent="0.25">
      <c r="B38" s="442" t="s">
        <v>615</v>
      </c>
      <c r="C38" s="353"/>
      <c r="D38" s="354"/>
      <c r="E38" s="447">
        <f>Estimate!M888</f>
        <v>0</v>
      </c>
      <c r="F38" s="447">
        <f>Estimate!M889</f>
        <v>0</v>
      </c>
      <c r="G38" s="351">
        <f t="shared" si="1"/>
        <v>0</v>
      </c>
      <c r="H38" s="355"/>
      <c r="I38" s="355">
        <f t="shared" ref="I38" si="16">G38+H38</f>
        <v>0</v>
      </c>
      <c r="J38" s="356"/>
    </row>
    <row r="39" spans="2:10" s="189" customFormat="1" x14ac:dyDescent="0.25">
      <c r="B39" s="445" t="s">
        <v>1347</v>
      </c>
      <c r="C39" s="353"/>
      <c r="D39" s="354"/>
      <c r="E39" s="447">
        <f>Estimate!M906+Estimate!M899</f>
        <v>0</v>
      </c>
      <c r="F39" s="447">
        <f>Estimate!M907+Estimate!M900</f>
        <v>0</v>
      </c>
      <c r="G39" s="351">
        <f t="shared" si="1"/>
        <v>0</v>
      </c>
      <c r="H39" s="355"/>
      <c r="I39" s="355">
        <f t="shared" si="4"/>
        <v>0</v>
      </c>
      <c r="J39" s="356"/>
    </row>
    <row r="40" spans="2:10" s="189" customFormat="1" x14ac:dyDescent="0.25">
      <c r="B40" s="442" t="s">
        <v>123</v>
      </c>
      <c r="C40" s="353"/>
      <c r="D40" s="354"/>
      <c r="E40" s="447">
        <f>Estimate!M927</f>
        <v>0</v>
      </c>
      <c r="F40" s="447">
        <f>Estimate!M928</f>
        <v>0</v>
      </c>
      <c r="G40" s="351">
        <f t="shared" si="1"/>
        <v>0</v>
      </c>
      <c r="H40" s="355"/>
      <c r="I40" s="355">
        <f t="shared" si="4"/>
        <v>0</v>
      </c>
      <c r="J40" s="356"/>
    </row>
    <row r="41" spans="2:10" s="252" customFormat="1" x14ac:dyDescent="0.35">
      <c r="B41" s="442" t="s">
        <v>570</v>
      </c>
      <c r="C41" s="353"/>
      <c r="D41" s="354"/>
      <c r="E41" s="447">
        <f>Estimate!M964+Estimate!M985</f>
        <v>0</v>
      </c>
      <c r="F41" s="447">
        <f>Estimate!M965+Estimate!M986</f>
        <v>0</v>
      </c>
      <c r="G41" s="351">
        <f t="shared" si="1"/>
        <v>0</v>
      </c>
      <c r="H41" s="355"/>
      <c r="I41" s="355">
        <f t="shared" si="4"/>
        <v>0</v>
      </c>
      <c r="J41" s="356"/>
    </row>
    <row r="42" spans="2:10" x14ac:dyDescent="0.35">
      <c r="B42" s="442" t="s">
        <v>568</v>
      </c>
      <c r="C42" s="353"/>
      <c r="D42" s="354"/>
      <c r="E42" s="447">
        <f>Estimate!M1012+Estimate!M1038</f>
        <v>0</v>
      </c>
      <c r="F42" s="447">
        <f>Estimate!M1013+Estimate!M1039</f>
        <v>0</v>
      </c>
      <c r="G42" s="351">
        <f t="shared" si="1"/>
        <v>0</v>
      </c>
      <c r="H42" s="355"/>
      <c r="I42" s="355">
        <f t="shared" si="4"/>
        <v>0</v>
      </c>
      <c r="J42" s="356"/>
    </row>
    <row r="43" spans="2:10" s="252" customFormat="1" x14ac:dyDescent="0.35">
      <c r="B43" s="442" t="s">
        <v>569</v>
      </c>
      <c r="C43" s="353"/>
      <c r="D43" s="354"/>
      <c r="E43" s="447">
        <f>Estimate!M1062+Estimate!M1103+Estimate!M1076+Estimate!M1124+Estimate!M1152+Estimate!M1166+Estimate!M1176+Estimate!M1188+Estimate!M1196+Estimate!M1205</f>
        <v>0</v>
      </c>
      <c r="F43" s="447">
        <f>Estimate!M1063+Estimate!M1104+Estimate!M1077+Estimate!M1125+Estimate!M1153+Estimate!M1167+Estimate!M1177+Estimate!M1189+Estimate!M1197+Estimate!M1206</f>
        <v>0</v>
      </c>
      <c r="G43" s="351">
        <f t="shared" si="1"/>
        <v>0</v>
      </c>
      <c r="H43" s="355"/>
      <c r="I43" s="355">
        <f t="shared" si="4"/>
        <v>0</v>
      </c>
      <c r="J43" s="356"/>
    </row>
    <row r="44" spans="2:10" ht="15" thickBot="1" x14ac:dyDescent="0.4">
      <c r="B44" s="444"/>
      <c r="C44" s="357"/>
      <c r="D44" s="358"/>
      <c r="E44" s="355"/>
      <c r="F44" s="359"/>
      <c r="G44" s="360"/>
      <c r="H44" s="359"/>
      <c r="I44" s="359">
        <f t="shared" si="4"/>
        <v>0</v>
      </c>
      <c r="J44" s="361"/>
    </row>
    <row r="45" spans="2:10" ht="15" thickBot="1" x14ac:dyDescent="0.4">
      <c r="B45" s="615" t="s">
        <v>940</v>
      </c>
      <c r="C45" s="616"/>
      <c r="D45" s="617"/>
      <c r="E45" s="251">
        <f>SUM(E9:E44)</f>
        <v>0</v>
      </c>
      <c r="F45" s="251">
        <f>SUM(F9:F44)</f>
        <v>0</v>
      </c>
      <c r="G45" s="251">
        <f>SUM(G9:G44)</f>
        <v>0</v>
      </c>
      <c r="H45" s="251">
        <f>SUM(H9:H44)</f>
        <v>0</v>
      </c>
      <c r="I45" s="251">
        <f>SUM(I9:I44)</f>
        <v>0</v>
      </c>
      <c r="J45" s="221"/>
    </row>
    <row r="46" spans="2:10" ht="6.75" customHeight="1" thickBot="1" x14ac:dyDescent="0.4">
      <c r="B46" s="207"/>
      <c r="C46" s="208"/>
      <c r="D46" s="208"/>
      <c r="E46" s="209"/>
      <c r="F46" s="210"/>
      <c r="G46" s="210"/>
      <c r="H46" s="210"/>
      <c r="I46" s="210"/>
      <c r="J46" s="211"/>
    </row>
    <row r="47" spans="2:10" s="250" customFormat="1" ht="15" thickBot="1" x14ac:dyDescent="0.3">
      <c r="B47" s="615" t="s">
        <v>948</v>
      </c>
      <c r="C47" s="616"/>
      <c r="D47" s="617"/>
      <c r="E47" s="253">
        <f>E45/('Budget Summary'!$G$2-'Budget Summary'!$E$88)</f>
        <v>0</v>
      </c>
      <c r="F47" s="253">
        <f>F45/('Budget Summary'!$G$2-'Budget Summary'!$E$88)</f>
        <v>0</v>
      </c>
      <c r="G47" s="253">
        <f>G45/('Budget Summary'!$G$2-'Budget Summary'!$E$88)</f>
        <v>0</v>
      </c>
      <c r="H47" s="253">
        <f>H45/('Budget Summary'!$G$2-'Budget Summary'!$E$88)</f>
        <v>0</v>
      </c>
      <c r="I47" s="253">
        <f>I45/('Budget Summary'!$G$2-'Budget Summary'!$E$88)</f>
        <v>0</v>
      </c>
      <c r="J47" s="221"/>
    </row>
    <row r="48" spans="2:10" ht="18.5" x14ac:dyDescent="0.45">
      <c r="B48" s="183" t="s">
        <v>949</v>
      </c>
      <c r="C48" s="185"/>
      <c r="D48" s="185"/>
      <c r="E48" s="186"/>
      <c r="F48" s="184"/>
    </row>
    <row r="49" spans="2:15" ht="23.5" x14ac:dyDescent="0.55000000000000004">
      <c r="B49" s="618" t="s">
        <v>1274</v>
      </c>
      <c r="C49" s="618"/>
      <c r="D49" s="618"/>
      <c r="E49" s="618"/>
      <c r="F49" s="618"/>
      <c r="G49" s="618"/>
      <c r="H49" s="618"/>
      <c r="I49" s="618"/>
      <c r="J49" s="618"/>
    </row>
    <row r="50" spans="2:15" ht="11.25" customHeight="1" thickBot="1" x14ac:dyDescent="0.5">
      <c r="B50" s="184"/>
      <c r="C50" s="185"/>
      <c r="D50" s="185"/>
      <c r="E50" s="186"/>
      <c r="F50" s="184"/>
    </row>
    <row r="51" spans="2:15" ht="16" thickBot="1" x14ac:dyDescent="0.4">
      <c r="B51" s="611" t="s">
        <v>941</v>
      </c>
      <c r="C51" s="612"/>
      <c r="D51" s="257" t="s">
        <v>933</v>
      </c>
      <c r="E51" s="248" t="s">
        <v>934</v>
      </c>
      <c r="F51" s="248" t="s">
        <v>935</v>
      </c>
      <c r="G51" s="248" t="s">
        <v>936</v>
      </c>
      <c r="H51" s="248" t="s">
        <v>938</v>
      </c>
      <c r="I51" s="248" t="s">
        <v>939</v>
      </c>
      <c r="J51" s="249" t="s">
        <v>588</v>
      </c>
      <c r="O51" s="495" t="s">
        <v>1420</v>
      </c>
    </row>
    <row r="52" spans="2:15" s="250" customFormat="1" ht="15" thickBot="1" x14ac:dyDescent="0.4">
      <c r="B52" s="613" t="s">
        <v>942</v>
      </c>
      <c r="C52" s="614"/>
      <c r="D52" s="258">
        <f>Estimate!J1249</f>
        <v>125.1061372935</v>
      </c>
      <c r="E52" s="213">
        <f>+Estimate!G1249</f>
        <v>0.02</v>
      </c>
      <c r="F52" s="212">
        <f>Estimate!J1250</f>
        <v>187.65920594024999</v>
      </c>
      <c r="G52" s="213">
        <f>Estimate!G1250</f>
        <v>0.03</v>
      </c>
      <c r="H52" s="212">
        <f>Estimate!N1248</f>
        <v>312.76534323375</v>
      </c>
      <c r="I52" s="213">
        <f>E52+G52</f>
        <v>0.05</v>
      </c>
      <c r="J52" s="214" t="e">
        <f>H52/('Project Info Input'!C22+'Project Info Input'!C23)</f>
        <v>#DIV/0!</v>
      </c>
    </row>
    <row r="53" spans="2:15" ht="18.5" x14ac:dyDescent="0.45">
      <c r="B53" s="184"/>
      <c r="C53" s="184"/>
      <c r="D53" s="184"/>
      <c r="E53" s="184"/>
      <c r="F53" s="184"/>
    </row>
    <row r="54" spans="2:15" ht="23.5" x14ac:dyDescent="0.55000000000000004">
      <c r="B54" s="618" t="s">
        <v>1275</v>
      </c>
      <c r="C54" s="618"/>
      <c r="D54" s="618"/>
      <c r="E54" s="618"/>
      <c r="F54" s="618"/>
      <c r="G54" s="618"/>
      <c r="H54" s="618"/>
      <c r="I54" s="618"/>
      <c r="J54" s="618"/>
    </row>
    <row r="55" spans="2:15" ht="11.75" customHeight="1" thickBot="1" x14ac:dyDescent="0.5">
      <c r="B55" s="184"/>
      <c r="C55" s="185"/>
      <c r="D55" s="185"/>
      <c r="E55" s="186"/>
      <c r="F55" s="184"/>
    </row>
    <row r="56" spans="2:15" ht="16" thickBot="1" x14ac:dyDescent="0.4">
      <c r="B56" s="611" t="s">
        <v>941</v>
      </c>
      <c r="C56" s="612"/>
      <c r="D56" s="257" t="s">
        <v>933</v>
      </c>
      <c r="E56" s="248" t="s">
        <v>934</v>
      </c>
      <c r="F56" s="248" t="s">
        <v>935</v>
      </c>
      <c r="G56" s="248" t="s">
        <v>936</v>
      </c>
      <c r="H56" s="248" t="s">
        <v>938</v>
      </c>
      <c r="I56" s="248" t="s">
        <v>939</v>
      </c>
      <c r="J56" s="249" t="s">
        <v>588</v>
      </c>
      <c r="K56" s="183"/>
      <c r="L56" s="183"/>
      <c r="M56" s="183"/>
      <c r="N56" s="183"/>
    </row>
    <row r="57" spans="2:15" ht="15" thickBot="1" x14ac:dyDescent="0.4">
      <c r="B57" s="613" t="s">
        <v>942</v>
      </c>
      <c r="C57" s="614"/>
      <c r="D57" s="258">
        <f>Estimate!J1249</f>
        <v>125.1061372935</v>
      </c>
      <c r="E57" s="213">
        <f>+Estimate!G1249</f>
        <v>0.02</v>
      </c>
      <c r="F57" s="212">
        <f>Estimate!J1250+G45</f>
        <v>187.65920594024999</v>
      </c>
      <c r="G57" s="213">
        <f>Estimate!G1250+G47</f>
        <v>0.03</v>
      </c>
      <c r="H57" s="212">
        <f>D57+F57</f>
        <v>312.76534323375</v>
      </c>
      <c r="I57" s="213">
        <f>E57+G57</f>
        <v>0.05</v>
      </c>
      <c r="J57" s="214" t="e">
        <f>H57/('Project Info Input'!C22+'Project Info Input'!C23)</f>
        <v>#DIV/0!</v>
      </c>
      <c r="O57" s="495" t="s">
        <v>1420</v>
      </c>
    </row>
    <row r="58" spans="2:15" ht="18.5" x14ac:dyDescent="0.45">
      <c r="B58" s="184"/>
      <c r="C58" s="184"/>
      <c r="D58" s="184"/>
      <c r="E58" s="184"/>
      <c r="F58" s="184"/>
    </row>
    <row r="59" spans="2:15" x14ac:dyDescent="0.35">
      <c r="B59" s="210" t="s">
        <v>596</v>
      </c>
      <c r="C59" s="610"/>
      <c r="D59" s="610"/>
      <c r="E59" s="610"/>
      <c r="F59" s="610"/>
      <c r="G59" s="610"/>
      <c r="H59" s="610"/>
      <c r="I59" s="187"/>
      <c r="J59" s="215"/>
    </row>
    <row r="60" spans="2:15" ht="18.5" x14ac:dyDescent="0.45">
      <c r="B60" s="184"/>
      <c r="C60" s="609" t="s">
        <v>571</v>
      </c>
      <c r="D60" s="609"/>
      <c r="E60" s="609"/>
      <c r="F60" s="609"/>
      <c r="G60" s="609"/>
      <c r="H60" s="609"/>
      <c r="I60" s="188"/>
      <c r="J60" s="183" t="s">
        <v>947</v>
      </c>
    </row>
    <row r="61" spans="2:15" ht="15" thickBot="1" x14ac:dyDescent="0.4"/>
    <row r="62" spans="2:15" ht="33.75" customHeight="1" thickBot="1" x14ac:dyDescent="0.4">
      <c r="G62" s="494" t="s">
        <v>1419</v>
      </c>
      <c r="J62" s="493"/>
    </row>
  </sheetData>
  <mergeCells count="16">
    <mergeCell ref="O15:P15"/>
    <mergeCell ref="B2:J2"/>
    <mergeCell ref="C5:J5"/>
    <mergeCell ref="C6:J6"/>
    <mergeCell ref="C4:J4"/>
    <mergeCell ref="G9:H9"/>
    <mergeCell ref="C60:H60"/>
    <mergeCell ref="C59:H59"/>
    <mergeCell ref="B51:C51"/>
    <mergeCell ref="B52:C52"/>
    <mergeCell ref="B45:D45"/>
    <mergeCell ref="B47:D47"/>
    <mergeCell ref="B49:J49"/>
    <mergeCell ref="B54:J54"/>
    <mergeCell ref="B56:C56"/>
    <mergeCell ref="B57:C57"/>
  </mergeCells>
  <printOptions horizontalCentered="1"/>
  <pageMargins left="0.25" right="0.25" top="0.75" bottom="0.75" header="0.3" footer="0.3"/>
  <pageSetup scale="57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33CE-6327-4973-9BFD-3A64A34FA8C3}">
  <dimension ref="A1:C8"/>
  <sheetViews>
    <sheetView workbookViewId="0">
      <selection activeCell="B20" sqref="B20"/>
    </sheetView>
  </sheetViews>
  <sheetFormatPr defaultRowHeight="12.5" x14ac:dyDescent="0.25"/>
  <cols>
    <col min="1" max="1" width="22.6328125" bestFit="1" customWidth="1"/>
    <col min="2" max="2" width="66.26953125" bestFit="1" customWidth="1"/>
    <col min="3" max="3" width="71.453125" bestFit="1" customWidth="1"/>
  </cols>
  <sheetData>
    <row r="1" spans="1:3" ht="14.5" x14ac:dyDescent="0.25">
      <c r="A1" s="496" t="s">
        <v>1421</v>
      </c>
      <c r="B1" s="496" t="s">
        <v>1422</v>
      </c>
      <c r="C1" s="496" t="s">
        <v>1423</v>
      </c>
    </row>
    <row r="2" spans="1:3" x14ac:dyDescent="0.25">
      <c r="A2" t="s">
        <v>1424</v>
      </c>
      <c r="B2" t="s">
        <v>1425</v>
      </c>
      <c r="C2" t="s">
        <v>1426</v>
      </c>
    </row>
    <row r="3" spans="1:3" x14ac:dyDescent="0.25">
      <c r="A3" t="s">
        <v>1427</v>
      </c>
      <c r="B3" t="s">
        <v>1428</v>
      </c>
      <c r="C3" t="s">
        <v>1429</v>
      </c>
    </row>
    <row r="4" spans="1:3" x14ac:dyDescent="0.25">
      <c r="A4" t="s">
        <v>1430</v>
      </c>
      <c r="B4" t="s">
        <v>1431</v>
      </c>
      <c r="C4" t="s">
        <v>1432</v>
      </c>
    </row>
    <row r="5" spans="1:3" x14ac:dyDescent="0.25">
      <c r="A5" t="s">
        <v>1368</v>
      </c>
      <c r="B5" t="s">
        <v>1433</v>
      </c>
      <c r="C5" t="s">
        <v>1434</v>
      </c>
    </row>
    <row r="6" spans="1:3" x14ac:dyDescent="0.25">
      <c r="A6" t="s">
        <v>1435</v>
      </c>
      <c r="B6" t="s">
        <v>1436</v>
      </c>
      <c r="C6" t="s">
        <v>1437</v>
      </c>
    </row>
    <row r="7" spans="1:3" x14ac:dyDescent="0.25">
      <c r="A7" t="s">
        <v>713</v>
      </c>
      <c r="B7" t="s">
        <v>1438</v>
      </c>
      <c r="C7" t="s">
        <v>1439</v>
      </c>
    </row>
    <row r="8" spans="1:3" x14ac:dyDescent="0.25">
      <c r="A8" t="s">
        <v>1440</v>
      </c>
      <c r="B8" t="s">
        <v>1441</v>
      </c>
      <c r="C8" t="s">
        <v>1442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F6AC88-9F52-4CE3-8555-1E24E6407B6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Project Info Input</vt:lpstr>
      <vt:lpstr>Budget Summary</vt:lpstr>
      <vt:lpstr>Estimate</vt:lpstr>
      <vt:lpstr>Clarifications</vt:lpstr>
      <vt:lpstr>GCs Input, Staff &amp; IT Costs</vt:lpstr>
      <vt:lpstr>General Conditions</vt:lpstr>
      <vt:lpstr>Estimate Risk Summary</vt:lpstr>
      <vt:lpstr>How to Use</vt:lpstr>
      <vt:lpstr>'Budget Summary'!Print_Area</vt:lpstr>
      <vt:lpstr>Estimate!Print_Area</vt:lpstr>
      <vt:lpstr>'Estimate Risk Summary'!Print_Area</vt:lpstr>
      <vt:lpstr>'GCs Input, Staff &amp; IT Costs'!Print_Area</vt:lpstr>
      <vt:lpstr>'General Conditions'!Print_Area</vt:lpstr>
      <vt:lpstr>Estimate!Print_Titles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Firmin Ngappi</dc:creator>
  <cp:lastModifiedBy>fleury ngappi</cp:lastModifiedBy>
  <cp:lastPrinted>2021-02-22T21:15:54Z</cp:lastPrinted>
  <dcterms:created xsi:type="dcterms:W3CDTF">2003-12-10T22:01:45Z</dcterms:created>
  <dcterms:modified xsi:type="dcterms:W3CDTF">2026-02-11T19:33:50Z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{1DF6AC88-9F52-4CE3-8555-1E24E6407B6C}</vt:lpwstr>
  </property>
</Properties>
</file>